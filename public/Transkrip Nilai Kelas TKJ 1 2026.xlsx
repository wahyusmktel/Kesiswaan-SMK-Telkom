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MK Telkom Lampung\Downloads\"/>
    </mc:Choice>
  </mc:AlternateContent>
  <xr:revisionPtr revIDLastSave="0" documentId="8_{C8D2D19D-39B3-464C-B2D6-7FD9E6174B23}" xr6:coauthVersionLast="47" xr6:coauthVersionMax="47" xr10:uidLastSave="{00000000-0000-0000-0000-000000000000}"/>
  <bookViews>
    <workbookView xWindow="-120" yWindow="-120" windowWidth="29040" windowHeight="15840" xr2:uid="{97C1A526-FD9D-4B5B-B2BE-75E819613165}"/>
  </bookViews>
  <sheets>
    <sheet name="TKJ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Z37" i="1" l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BC37" i="1" s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BC36" i="1" s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BC35" i="1" s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BC34" i="1" s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BC33" i="1" s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BC32" i="1" s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BC31" i="1" s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BC30" i="1" s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BC29" i="1" s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BC28" i="1" s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BC27" i="1" s="1"/>
  <c r="AK27" i="1"/>
  <c r="BB27" i="1" s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BC26" i="1" s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BC25" i="1" s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BC24" i="1" s="1"/>
  <c r="AK24" i="1"/>
  <c r="BB24" i="1" s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BC23" i="1" s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BB22" i="1" s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BC21" i="1" s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BC20" i="1" s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BC19" i="1" s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BC18" i="1" s="1"/>
  <c r="AK18" i="1"/>
  <c r="BB18" i="1" s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BC17" i="1" s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BC16" i="1" s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BC15" i="1" s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BC14" i="1" s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BC13" i="1" s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BC12" i="1" s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BC11" i="1" s="1"/>
  <c r="AK11" i="1"/>
  <c r="BB11" i="1" s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BC10" i="1" s="1"/>
  <c r="AK10" i="1"/>
  <c r="BB10" i="1" s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BC9" i="1" s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BC8" i="1" s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BC7" i="1" s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BB6" i="1" s="1"/>
  <c r="BD23" i="1" l="1"/>
  <c r="BD35" i="1"/>
  <c r="BC6" i="1"/>
  <c r="BD6" i="1" s="1"/>
  <c r="BB17" i="1"/>
  <c r="BC22" i="1"/>
  <c r="BB33" i="1"/>
  <c r="BB12" i="1"/>
  <c r="BB28" i="1"/>
  <c r="BB7" i="1"/>
  <c r="BB23" i="1"/>
  <c r="BB34" i="1"/>
  <c r="BB13" i="1"/>
  <c r="BB29" i="1"/>
  <c r="BB8" i="1"/>
  <c r="BB19" i="1"/>
  <c r="BB35" i="1"/>
  <c r="BB14" i="1"/>
  <c r="BB30" i="1"/>
  <c r="BB9" i="1"/>
  <c r="BB25" i="1"/>
  <c r="BB20" i="1"/>
  <c r="BB36" i="1"/>
  <c r="BB15" i="1"/>
  <c r="BB31" i="1"/>
  <c r="BB26" i="1"/>
  <c r="BB21" i="1"/>
  <c r="BB37" i="1"/>
  <c r="BB16" i="1"/>
  <c r="BB32" i="1"/>
  <c r="BD29" i="1" l="1"/>
  <c r="BD20" i="1"/>
  <c r="BD26" i="1"/>
  <c r="BD14" i="1"/>
  <c r="BD25" i="1"/>
  <c r="BD9" i="1"/>
  <c r="BD31" i="1"/>
  <c r="BD34" i="1"/>
  <c r="BD28" i="1"/>
  <c r="BD19" i="1"/>
  <c r="BD32" i="1"/>
  <c r="BD15" i="1"/>
  <c r="BD30" i="1"/>
  <c r="BD12" i="1"/>
  <c r="BD36" i="1"/>
  <c r="BD8" i="1"/>
  <c r="BD17" i="1"/>
  <c r="BD27" i="1"/>
  <c r="BD33" i="1"/>
  <c r="BD24" i="1"/>
  <c r="BD21" i="1"/>
  <c r="BD18" i="1"/>
  <c r="BD16" i="1"/>
  <c r="BD11" i="1"/>
  <c r="BD13" i="1"/>
  <c r="BD10" i="1"/>
  <c r="BD22" i="1"/>
  <c r="BD7" i="1"/>
  <c r="BD37" i="1"/>
</calcChain>
</file>

<file path=xl/sharedStrings.xml><?xml version="1.0" encoding="utf-8"?>
<sst xmlns="http://schemas.openxmlformats.org/spreadsheetml/2006/main" count="156" uniqueCount="123">
  <si>
    <t>NO</t>
  </si>
  <si>
    <t>NAMA</t>
  </si>
  <si>
    <t>NISN</t>
  </si>
  <si>
    <t>NOMOR UJIAN</t>
  </si>
  <si>
    <t>RERATA RAPOR</t>
  </si>
  <si>
    <t>NILAI UJIAN SEKOLAH</t>
  </si>
  <si>
    <t>NILAI TRANSKRIP</t>
  </si>
  <si>
    <t>Pendidikan Agama dan Budi Pekerti</t>
  </si>
  <si>
    <t>Pendidikan Kewarganegaraan</t>
  </si>
  <si>
    <t>Bahasa Indonesia</t>
  </si>
  <si>
    <t>Pendidikan Jasmani, Olahraga dan Kesehatan</t>
  </si>
  <si>
    <t>Sejarah Indonesia</t>
  </si>
  <si>
    <t>Seni Budaya</t>
  </si>
  <si>
    <t>Bahasa Lampung</t>
  </si>
  <si>
    <t>Pendidikan Anti Korupsi</t>
  </si>
  <si>
    <t>Matematika</t>
  </si>
  <si>
    <t>Bahasa Inggris</t>
  </si>
  <si>
    <t>Informatika</t>
  </si>
  <si>
    <t>Projek IPAS</t>
  </si>
  <si>
    <t>Dasar Program Keahlian</t>
  </si>
  <si>
    <t>Kompetensi Keahlian</t>
  </si>
  <si>
    <t>Kreatif Inovatif Kewirausahaan</t>
  </si>
  <si>
    <t>Mata Pelajaran Pilihan</t>
  </si>
  <si>
    <t>Paktik Kerja Lapangan</t>
  </si>
  <si>
    <t>Jumlah</t>
  </si>
  <si>
    <t>Rata - Rata</t>
  </si>
  <si>
    <t>Rank</t>
  </si>
  <si>
    <t>Adinda Astriyana</t>
  </si>
  <si>
    <t>0081009779</t>
  </si>
  <si>
    <t>4-26-12-12-130-001-8</t>
  </si>
  <si>
    <t>Agustinus Nababan</t>
  </si>
  <si>
    <t>0081303336</t>
  </si>
  <si>
    <t>4-26-12-12-130-002-7</t>
  </si>
  <si>
    <t>Andika Pratama</t>
  </si>
  <si>
    <t>0089091266</t>
  </si>
  <si>
    <t>4-26-12-12-130-003-6</t>
  </si>
  <si>
    <t>Anesa Raja Fadhel A</t>
  </si>
  <si>
    <t>0088424393</t>
  </si>
  <si>
    <t>4-26-12-12-130-004-5</t>
  </si>
  <si>
    <t>Aqilla Cinta Wijaya</t>
  </si>
  <si>
    <t>0083427165</t>
  </si>
  <si>
    <t>4-26-12-12-130-005-4</t>
  </si>
  <si>
    <t>Astri Fella Fauziyah</t>
  </si>
  <si>
    <t>0089180230</t>
  </si>
  <si>
    <t>4-26-12-12-130-006-3</t>
  </si>
  <si>
    <t>Aurel Adinta Pratama</t>
  </si>
  <si>
    <t>0087960780</t>
  </si>
  <si>
    <t>4-26-12-12-130-007-2</t>
  </si>
  <si>
    <t>Bilgi Lanna Sadewo</t>
  </si>
  <si>
    <t>0085922777</t>
  </si>
  <si>
    <t>4-26-12-12-130-008-9</t>
  </si>
  <si>
    <t>Bilqis Nurfitri</t>
  </si>
  <si>
    <t>0089630046</t>
  </si>
  <si>
    <t>4-26-12-12-130-009-8</t>
  </si>
  <si>
    <t>Chika Oktafianasari</t>
  </si>
  <si>
    <t>0089376732</t>
  </si>
  <si>
    <t>4-26-12-12-130-010-7</t>
  </si>
  <si>
    <t>Cifhano Azriel Putra Effendi</t>
  </si>
  <si>
    <t>0082471134</t>
  </si>
  <si>
    <t>4-26-12-12-130-011-6</t>
  </si>
  <si>
    <t>Desta Amelia</t>
  </si>
  <si>
    <t>0078559144</t>
  </si>
  <si>
    <t>4-26-12-12-130-012-5</t>
  </si>
  <si>
    <t>Dhini Zulvi Alisya</t>
  </si>
  <si>
    <t>0085808068</t>
  </si>
  <si>
    <t>4-26-12-12-130-013-4</t>
  </si>
  <si>
    <t>Dwi Sudibio Nugroho</t>
  </si>
  <si>
    <t>0066137438</t>
  </si>
  <si>
    <t>4-26-12-12-130-014-3</t>
  </si>
  <si>
    <t>Erlangga Niaga</t>
  </si>
  <si>
    <t>0088417101</t>
  </si>
  <si>
    <t>4-26-12-12-130-015-2</t>
  </si>
  <si>
    <t>Gesya Ayu Aurelia</t>
  </si>
  <si>
    <t>0082154571</t>
  </si>
  <si>
    <t>4-26-12-12-130-016-9</t>
  </si>
  <si>
    <t>Gleend Ramadhani</t>
  </si>
  <si>
    <t>0081088055</t>
  </si>
  <si>
    <t>4-26-12-12-130-017-8</t>
  </si>
  <si>
    <t>Intan Aisyah Bilge</t>
  </si>
  <si>
    <t>0082643421</t>
  </si>
  <si>
    <t>4-26-12-12-130-018-7</t>
  </si>
  <si>
    <t>Kaka Fatih Prayugo</t>
  </si>
  <si>
    <t>0086954243</t>
  </si>
  <si>
    <t>4-26-12-12-130-019-6</t>
  </si>
  <si>
    <t>Lidya Rahma</t>
  </si>
  <si>
    <t>0085019835</t>
  </si>
  <si>
    <t>4-26-12-12-130-020-5</t>
  </si>
  <si>
    <t>M. Rizky Ramadhan</t>
  </si>
  <si>
    <t>0084688960</t>
  </si>
  <si>
    <t>4-26-12-12-130-021-4</t>
  </si>
  <si>
    <t>Muhammad Bagas N</t>
  </si>
  <si>
    <t>0089093538</t>
  </si>
  <si>
    <t>4-26-12-12-130-022-3</t>
  </si>
  <si>
    <t>Naysila Putri Ramadhani</t>
  </si>
  <si>
    <t>0082840128</t>
  </si>
  <si>
    <t>4-26-12-12-130-023-2</t>
  </si>
  <si>
    <t>Nouval Delian Fragysta</t>
  </si>
  <si>
    <t>0074893901</t>
  </si>
  <si>
    <t>4-26-12-12-130-024-9</t>
  </si>
  <si>
    <t>Puput Ramadhani</t>
  </si>
  <si>
    <t>0066772715</t>
  </si>
  <si>
    <t>4-26-12-12-130-025-8</t>
  </si>
  <si>
    <t>Rehan Awan Laksana</t>
  </si>
  <si>
    <t>0074009430</t>
  </si>
  <si>
    <t>4-26-12-12-130-026-7</t>
  </si>
  <si>
    <t>Rifki Fadillah</t>
  </si>
  <si>
    <t>0089995722</t>
  </si>
  <si>
    <t>4-26-12-12-130-027-6</t>
  </si>
  <si>
    <t>Sahrudin Harlan Ciro</t>
  </si>
  <si>
    <t>0085288178</t>
  </si>
  <si>
    <t>4-26-12-12-130-028-5</t>
  </si>
  <si>
    <t>Sarrah Dea Fernanda</t>
  </si>
  <si>
    <t>0088994371</t>
  </si>
  <si>
    <t>4-26-12-12-130-029-4</t>
  </si>
  <si>
    <t>Tayba</t>
  </si>
  <si>
    <t>0084704663</t>
  </si>
  <si>
    <t>4-26-12-12-130-030-3</t>
  </si>
  <si>
    <t>Tirta Cahaya Dimitri</t>
  </si>
  <si>
    <t>0085762492</t>
  </si>
  <si>
    <t>4-26-12-12-130-031-2</t>
  </si>
  <si>
    <t>Zahid Saifudin</t>
  </si>
  <si>
    <t>0086680456</t>
  </si>
  <si>
    <t>4-26-12-12-130-032-9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</si>
</sst>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5" tint="0.59999389629810485"/>
        <bgColor rgb="FFBFBFB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auto="1"/>
      </right>
      <top style="double">
        <color rgb="FF000000"/>
      </top>
      <bottom style="thin">
        <color rgb="FF000000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uble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2" fillId="0" borderId="8" xfId="0" applyFont="1" applyBorder="1"/>
    <xf numFmtId="0" fontId="1" fillId="2" borderId="9" xfId="0" applyFont="1" applyFill="1" applyBorder="1" applyAlignment="1">
      <alignment horizontal="center" vertical="center" textRotation="90" wrapText="1"/>
    </xf>
    <xf numFmtId="0" fontId="1" fillId="3" borderId="9" xfId="0" applyFont="1" applyFill="1" applyBorder="1" applyAlignment="1">
      <alignment horizontal="center" vertical="center" textRotation="90" wrapText="1"/>
    </xf>
    <xf numFmtId="0" fontId="1" fillId="4" borderId="8" xfId="0" applyFont="1" applyFill="1" applyBorder="1" applyAlignment="1">
      <alignment horizontal="center" vertical="center" textRotation="90" wrapText="1"/>
    </xf>
    <xf numFmtId="0" fontId="1" fillId="4" borderId="10" xfId="0" applyFont="1" applyFill="1" applyBorder="1" applyAlignment="1">
      <alignment horizontal="center" vertical="center" textRotation="90" wrapText="1"/>
    </xf>
    <xf numFmtId="0" fontId="1" fillId="6" borderId="10" xfId="0" applyFont="1" applyFill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49" fontId="4" fillId="0" borderId="11" xfId="0" applyNumberFormat="1" applyFont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2" fontId="4" fillId="7" borderId="13" xfId="0" applyNumberFormat="1" applyFont="1" applyFill="1" applyBorder="1" applyAlignment="1">
      <alignment horizontal="center" vertical="center"/>
    </xf>
    <xf numFmtId="1" fontId="4" fillId="7" borderId="13" xfId="0" applyNumberFormat="1" applyFont="1" applyFill="1" applyBorder="1" applyAlignment="1">
      <alignment horizontal="center" vertical="center"/>
    </xf>
    <xf numFmtId="1" fontId="4" fillId="5" borderId="13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49" fontId="4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2" fontId="4" fillId="7" borderId="15" xfId="0" applyNumberFormat="1" applyFont="1" applyFill="1" applyBorder="1" applyAlignment="1">
      <alignment horizontal="center" vertical="center"/>
    </xf>
    <xf numFmtId="1" fontId="4" fillId="7" borderId="15" xfId="0" applyNumberFormat="1" applyFont="1" applyFill="1" applyBorder="1" applyAlignment="1">
      <alignment horizontal="center" vertical="center"/>
    </xf>
    <xf numFmtId="1" fontId="4" fillId="5" borderId="15" xfId="0" applyNumberFormat="1" applyFont="1" applyFill="1" applyBorder="1" applyAlignment="1">
      <alignment horizontal="center" vertical="center"/>
    </xf>
    <xf numFmtId="2" fontId="4" fillId="5" borderId="15" xfId="0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center" vertical="center"/>
    </xf>
    <xf numFmtId="1" fontId="4" fillId="2" borderId="17" xfId="0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2" fontId="4" fillId="7" borderId="18" xfId="0" applyNumberFormat="1" applyFont="1" applyFill="1" applyBorder="1" applyAlignment="1">
      <alignment horizontal="center" vertical="center"/>
    </xf>
    <xf numFmtId="1" fontId="4" fillId="7" borderId="18" xfId="0" applyNumberFormat="1" applyFont="1" applyFill="1" applyBorder="1" applyAlignment="1">
      <alignment horizontal="center" vertical="center"/>
    </xf>
    <xf numFmtId="1" fontId="4" fillId="5" borderId="18" xfId="0" applyNumberFormat="1" applyFont="1" applyFill="1" applyBorder="1" applyAlignment="1">
      <alignment horizontal="center" vertical="center"/>
    </xf>
    <xf numFmtId="2" fontId="4" fillId="5" borderId="1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F1E0-E229-4D43-85B2-52C9C464C5C6}">
  <dimension ref="A3:BD38"/>
  <sheetViews>
    <sheetView tabSelected="1" zoomScale="90" zoomScaleNormal="90" workbookViewId="0">
      <selection activeCell="AP11" sqref="AP11"/>
    </sheetView>
  </sheetViews>
  <sheetFormatPr defaultRowHeight="15" x14ac:dyDescent="0.25"/>
  <cols>
    <col min="1" max="1" width="4.28515625" customWidth="1"/>
    <col min="2" max="2" width="28.42578125" customWidth="1"/>
    <col min="3" max="3" width="15.5703125" customWidth="1"/>
    <col min="4" max="4" width="22.28515625" customWidth="1"/>
    <col min="5" max="52" width="5.5703125" customWidth="1"/>
    <col min="53" max="53" width="8" customWidth="1"/>
  </cols>
  <sheetData>
    <row r="3" spans="1:56" ht="15.75" thickBot="1" x14ac:dyDescent="0.3"/>
    <row r="4" spans="1:56" ht="15.75" thickTop="1" x14ac:dyDescent="0.25">
      <c r="A4" s="1" t="s">
        <v>0</v>
      </c>
      <c r="B4" s="1" t="s">
        <v>1</v>
      </c>
      <c r="C4" s="1" t="s">
        <v>2</v>
      </c>
      <c r="D4" s="1" t="s">
        <v>3</v>
      </c>
      <c r="E4" s="2" t="s">
        <v>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 t="s">
        <v>5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6" t="s">
        <v>6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8"/>
      <c r="BB4" s="9" t="s">
        <v>6</v>
      </c>
      <c r="BC4" s="10"/>
      <c r="BD4" s="11"/>
    </row>
    <row r="5" spans="1:56" ht="118.5" customHeight="1" thickBot="1" x14ac:dyDescent="0.3">
      <c r="A5" s="12"/>
      <c r="B5" s="12"/>
      <c r="C5" s="12"/>
      <c r="D5" s="12"/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3" t="s">
        <v>13</v>
      </c>
      <c r="L5" s="13" t="s">
        <v>14</v>
      </c>
      <c r="M5" s="13" t="s">
        <v>15</v>
      </c>
      <c r="N5" s="13" t="s">
        <v>16</v>
      </c>
      <c r="O5" s="13" t="s">
        <v>17</v>
      </c>
      <c r="P5" s="13" t="s">
        <v>18</v>
      </c>
      <c r="Q5" s="13" t="s">
        <v>19</v>
      </c>
      <c r="R5" s="13" t="s">
        <v>20</v>
      </c>
      <c r="S5" s="13" t="s">
        <v>21</v>
      </c>
      <c r="T5" s="13" t="s">
        <v>22</v>
      </c>
      <c r="U5" s="14" t="s">
        <v>7</v>
      </c>
      <c r="V5" s="14" t="s">
        <v>8</v>
      </c>
      <c r="W5" s="14" t="s">
        <v>9</v>
      </c>
      <c r="X5" s="14" t="s">
        <v>10</v>
      </c>
      <c r="Y5" s="14" t="s">
        <v>11</v>
      </c>
      <c r="Z5" s="14" t="s">
        <v>12</v>
      </c>
      <c r="AA5" s="14" t="s">
        <v>13</v>
      </c>
      <c r="AB5" s="14" t="s">
        <v>14</v>
      </c>
      <c r="AC5" s="14" t="s">
        <v>15</v>
      </c>
      <c r="AD5" s="14" t="s">
        <v>16</v>
      </c>
      <c r="AE5" s="14" t="s">
        <v>17</v>
      </c>
      <c r="AF5" s="14" t="s">
        <v>18</v>
      </c>
      <c r="AG5" s="14" t="s">
        <v>19</v>
      </c>
      <c r="AH5" s="14" t="s">
        <v>20</v>
      </c>
      <c r="AI5" s="14" t="s">
        <v>21</v>
      </c>
      <c r="AJ5" s="14" t="s">
        <v>22</v>
      </c>
      <c r="AK5" s="15" t="s">
        <v>7</v>
      </c>
      <c r="AL5" s="15" t="s">
        <v>8</v>
      </c>
      <c r="AM5" s="15" t="s">
        <v>9</v>
      </c>
      <c r="AN5" s="15" t="s">
        <v>10</v>
      </c>
      <c r="AO5" s="15" t="s">
        <v>11</v>
      </c>
      <c r="AP5" s="15" t="s">
        <v>12</v>
      </c>
      <c r="AQ5" s="15" t="s">
        <v>13</v>
      </c>
      <c r="AR5" s="15" t="s">
        <v>14</v>
      </c>
      <c r="AS5" s="15" t="s">
        <v>15</v>
      </c>
      <c r="AT5" s="15" t="s">
        <v>16</v>
      </c>
      <c r="AU5" s="15" t="s">
        <v>17</v>
      </c>
      <c r="AV5" s="15" t="s">
        <v>18</v>
      </c>
      <c r="AW5" s="15" t="s">
        <v>19</v>
      </c>
      <c r="AX5" s="15" t="s">
        <v>20</v>
      </c>
      <c r="AY5" s="15" t="s">
        <v>21</v>
      </c>
      <c r="AZ5" s="15" t="s">
        <v>22</v>
      </c>
      <c r="BA5" s="16" t="s">
        <v>23</v>
      </c>
      <c r="BB5" s="17" t="s">
        <v>24</v>
      </c>
      <c r="BC5" s="17" t="s">
        <v>25</v>
      </c>
      <c r="BD5" s="17" t="s">
        <v>26</v>
      </c>
    </row>
    <row r="6" spans="1:56" ht="15.75" thickTop="1" x14ac:dyDescent="0.25">
      <c r="A6" s="18">
        <v>1</v>
      </c>
      <c r="B6" s="19" t="s">
        <v>27</v>
      </c>
      <c r="C6" s="20" t="s">
        <v>28</v>
      </c>
      <c r="D6" s="18" t="s">
        <v>29</v>
      </c>
      <c r="E6" s="21">
        <v>81</v>
      </c>
      <c r="F6" s="21">
        <v>79.8</v>
      </c>
      <c r="G6" s="21">
        <v>82.2</v>
      </c>
      <c r="H6" s="21">
        <v>82.75</v>
      </c>
      <c r="I6" s="21">
        <v>80</v>
      </c>
      <c r="J6" s="21">
        <v>85</v>
      </c>
      <c r="K6" s="21">
        <v>80.5</v>
      </c>
      <c r="L6" s="21">
        <v>80</v>
      </c>
      <c r="M6" s="21">
        <v>80.2</v>
      </c>
      <c r="N6" s="21">
        <v>78.400000000000006</v>
      </c>
      <c r="O6" s="21">
        <v>76.5</v>
      </c>
      <c r="P6" s="21">
        <v>79</v>
      </c>
      <c r="Q6" s="21">
        <v>75.5</v>
      </c>
      <c r="R6" s="21">
        <v>81.5</v>
      </c>
      <c r="S6" s="21">
        <v>82</v>
      </c>
      <c r="T6" s="21">
        <v>80.333333333333329</v>
      </c>
      <c r="U6" s="22">
        <v>88</v>
      </c>
      <c r="V6" s="22">
        <v>84</v>
      </c>
      <c r="W6" s="22">
        <v>86</v>
      </c>
      <c r="X6" s="22">
        <v>86</v>
      </c>
      <c r="Y6" s="23">
        <v>88</v>
      </c>
      <c r="Z6" s="22">
        <v>84</v>
      </c>
      <c r="AA6" s="22">
        <v>84</v>
      </c>
      <c r="AB6" s="22">
        <v>86</v>
      </c>
      <c r="AC6" s="22">
        <v>92</v>
      </c>
      <c r="AD6" s="22">
        <v>86</v>
      </c>
      <c r="AE6" s="24">
        <v>87</v>
      </c>
      <c r="AF6" s="24">
        <v>86</v>
      </c>
      <c r="AG6" s="24">
        <v>82</v>
      </c>
      <c r="AH6" s="24">
        <v>85</v>
      </c>
      <c r="AI6" s="24">
        <v>86</v>
      </c>
      <c r="AJ6" s="24">
        <v>86</v>
      </c>
      <c r="AK6" s="25">
        <f>AVERAGE(E6,U6)</f>
        <v>84.5</v>
      </c>
      <c r="AL6" s="25">
        <f>AVERAGE(F6,V6)</f>
        <v>81.900000000000006</v>
      </c>
      <c r="AM6" s="25">
        <f>AVERAGE(G6,W6)</f>
        <v>84.1</v>
      </c>
      <c r="AN6" s="25">
        <f t="shared" ref="AN6:AZ25" si="0">AVERAGE(H6,X6)</f>
        <v>84.375</v>
      </c>
      <c r="AO6" s="25">
        <f t="shared" si="0"/>
        <v>84</v>
      </c>
      <c r="AP6" s="25">
        <f t="shared" si="0"/>
        <v>84.5</v>
      </c>
      <c r="AQ6" s="25">
        <f t="shared" si="0"/>
        <v>82.25</v>
      </c>
      <c r="AR6" s="25">
        <f t="shared" si="0"/>
        <v>83</v>
      </c>
      <c r="AS6" s="25">
        <f t="shared" si="0"/>
        <v>86.1</v>
      </c>
      <c r="AT6" s="25">
        <f t="shared" si="0"/>
        <v>82.2</v>
      </c>
      <c r="AU6" s="25">
        <f t="shared" si="0"/>
        <v>81.75</v>
      </c>
      <c r="AV6" s="25">
        <f t="shared" si="0"/>
        <v>82.5</v>
      </c>
      <c r="AW6" s="25">
        <f t="shared" si="0"/>
        <v>78.75</v>
      </c>
      <c r="AX6" s="25">
        <f t="shared" si="0"/>
        <v>83.25</v>
      </c>
      <c r="AY6" s="25">
        <f t="shared" si="0"/>
        <v>84</v>
      </c>
      <c r="AZ6" s="25">
        <f t="shared" si="0"/>
        <v>83.166666666666657</v>
      </c>
      <c r="BA6" s="26">
        <v>93.28125</v>
      </c>
      <c r="BB6" s="27">
        <f>SUM(AK6:BA6)</f>
        <v>1423.6229166666669</v>
      </c>
      <c r="BC6" s="28">
        <f>AVERAGE(AK6:BA6)</f>
        <v>83.742524509803943</v>
      </c>
      <c r="BD6" s="27">
        <f t="shared" ref="BD6:BD37" si="1">_xlfn.RANK.AVG(BC6,$BC$6:$BC$37,0)</f>
        <v>10</v>
      </c>
    </row>
    <row r="7" spans="1:56" x14ac:dyDescent="0.25">
      <c r="A7" s="29">
        <v>2</v>
      </c>
      <c r="B7" s="30" t="s">
        <v>30</v>
      </c>
      <c r="C7" s="31" t="s">
        <v>31</v>
      </c>
      <c r="D7" s="29" t="s">
        <v>32</v>
      </c>
      <c r="E7" s="21">
        <v>81.8</v>
      </c>
      <c r="F7" s="21">
        <v>80</v>
      </c>
      <c r="G7" s="21">
        <v>82.8</v>
      </c>
      <c r="H7" s="21">
        <v>83.75</v>
      </c>
      <c r="I7" s="21">
        <v>81.75</v>
      </c>
      <c r="J7" s="21">
        <v>85.5</v>
      </c>
      <c r="K7" s="21">
        <v>79.5</v>
      </c>
      <c r="L7" s="21">
        <v>80.599999999999994</v>
      </c>
      <c r="M7" s="21">
        <v>79.599999999999994</v>
      </c>
      <c r="N7" s="21">
        <v>78.2</v>
      </c>
      <c r="O7" s="21">
        <v>78.5</v>
      </c>
      <c r="P7" s="21">
        <v>77</v>
      </c>
      <c r="Q7" s="21">
        <v>76</v>
      </c>
      <c r="R7" s="21">
        <v>81.75</v>
      </c>
      <c r="S7" s="21">
        <v>83</v>
      </c>
      <c r="T7" s="21">
        <v>80.333333333333329</v>
      </c>
      <c r="U7" s="32">
        <v>87</v>
      </c>
      <c r="V7" s="32">
        <v>85</v>
      </c>
      <c r="W7" s="32">
        <v>85</v>
      </c>
      <c r="X7" s="32">
        <v>85</v>
      </c>
      <c r="Y7" s="33">
        <v>86</v>
      </c>
      <c r="Z7" s="32">
        <v>84</v>
      </c>
      <c r="AA7" s="32">
        <v>80</v>
      </c>
      <c r="AB7" s="32">
        <v>86</v>
      </c>
      <c r="AC7" s="32">
        <v>94</v>
      </c>
      <c r="AD7" s="32">
        <v>86</v>
      </c>
      <c r="AE7" s="32">
        <v>86</v>
      </c>
      <c r="AF7" s="32">
        <v>86</v>
      </c>
      <c r="AG7" s="32">
        <v>82</v>
      </c>
      <c r="AH7" s="32">
        <v>83</v>
      </c>
      <c r="AI7" s="32">
        <v>84</v>
      </c>
      <c r="AJ7" s="32">
        <v>83</v>
      </c>
      <c r="AK7" s="34">
        <f>AVERAGE(E7,U7)</f>
        <v>84.4</v>
      </c>
      <c r="AL7" s="34">
        <f t="shared" ref="AL7:AP37" si="2">AVERAGE(F7,V7)</f>
        <v>82.5</v>
      </c>
      <c r="AM7" s="34">
        <f t="shared" si="2"/>
        <v>83.9</v>
      </c>
      <c r="AN7" s="34">
        <f t="shared" si="0"/>
        <v>84.375</v>
      </c>
      <c r="AO7" s="34">
        <f t="shared" si="0"/>
        <v>83.875</v>
      </c>
      <c r="AP7" s="34">
        <f t="shared" si="0"/>
        <v>84.75</v>
      </c>
      <c r="AQ7" s="34">
        <f t="shared" si="0"/>
        <v>79.75</v>
      </c>
      <c r="AR7" s="34">
        <f t="shared" si="0"/>
        <v>83.3</v>
      </c>
      <c r="AS7" s="34">
        <f t="shared" si="0"/>
        <v>86.8</v>
      </c>
      <c r="AT7" s="34">
        <f t="shared" si="0"/>
        <v>82.1</v>
      </c>
      <c r="AU7" s="34">
        <f t="shared" si="0"/>
        <v>82.25</v>
      </c>
      <c r="AV7" s="34">
        <f t="shared" si="0"/>
        <v>81.5</v>
      </c>
      <c r="AW7" s="34">
        <f t="shared" si="0"/>
        <v>79</v>
      </c>
      <c r="AX7" s="34">
        <f t="shared" si="0"/>
        <v>82.375</v>
      </c>
      <c r="AY7" s="34">
        <f t="shared" si="0"/>
        <v>83.5</v>
      </c>
      <c r="AZ7" s="34">
        <f t="shared" si="0"/>
        <v>81.666666666666657</v>
      </c>
      <c r="BA7" s="35">
        <v>89.229166666666657</v>
      </c>
      <c r="BB7" s="36">
        <f t="shared" ref="BB7:BB37" si="3">SUM(AK7:BA7)</f>
        <v>1415.2708333333335</v>
      </c>
      <c r="BC7" s="37">
        <f t="shared" ref="BC7:BC37" si="4">AVERAGE(AK7:BA7)</f>
        <v>83.251225490196092</v>
      </c>
      <c r="BD7" s="36">
        <f t="shared" si="1"/>
        <v>13</v>
      </c>
    </row>
    <row r="8" spans="1:56" x14ac:dyDescent="0.25">
      <c r="A8" s="29">
        <v>3</v>
      </c>
      <c r="B8" s="30" t="s">
        <v>33</v>
      </c>
      <c r="C8" s="31" t="s">
        <v>34</v>
      </c>
      <c r="D8" s="29" t="s">
        <v>35</v>
      </c>
      <c r="E8" s="21">
        <v>78.2</v>
      </c>
      <c r="F8" s="21">
        <v>80.2</v>
      </c>
      <c r="G8" s="21">
        <v>79.2</v>
      </c>
      <c r="H8" s="21">
        <v>82.75</v>
      </c>
      <c r="I8" s="21">
        <v>79</v>
      </c>
      <c r="J8" s="21">
        <v>74</v>
      </c>
      <c r="K8" s="21">
        <v>79.5</v>
      </c>
      <c r="L8" s="21">
        <v>78.8</v>
      </c>
      <c r="M8" s="21">
        <v>77</v>
      </c>
      <c r="N8" s="21">
        <v>77.8</v>
      </c>
      <c r="O8" s="21">
        <v>75.5</v>
      </c>
      <c r="P8" s="21">
        <v>73</v>
      </c>
      <c r="Q8" s="21">
        <v>74</v>
      </c>
      <c r="R8" s="21">
        <v>78.333333333333329</v>
      </c>
      <c r="S8" s="21">
        <v>80.333333333333329</v>
      </c>
      <c r="T8" s="21">
        <v>79.666666666666671</v>
      </c>
      <c r="U8" s="32">
        <v>88</v>
      </c>
      <c r="V8" s="32">
        <v>83</v>
      </c>
      <c r="W8" s="32">
        <v>87</v>
      </c>
      <c r="X8" s="32">
        <v>90</v>
      </c>
      <c r="Y8" s="33">
        <v>82</v>
      </c>
      <c r="Z8" s="32">
        <v>82</v>
      </c>
      <c r="AA8" s="32">
        <v>80</v>
      </c>
      <c r="AB8" s="32">
        <v>80</v>
      </c>
      <c r="AC8" s="32">
        <v>89</v>
      </c>
      <c r="AD8" s="32">
        <v>80</v>
      </c>
      <c r="AE8" s="32">
        <v>86</v>
      </c>
      <c r="AF8" s="32">
        <v>84</v>
      </c>
      <c r="AG8" s="32">
        <v>80</v>
      </c>
      <c r="AH8" s="32">
        <v>83</v>
      </c>
      <c r="AI8" s="32">
        <v>81</v>
      </c>
      <c r="AJ8" s="32">
        <v>83</v>
      </c>
      <c r="AK8" s="34">
        <f t="shared" ref="AK8:AK37" si="5">AVERAGE(E8,U8)</f>
        <v>83.1</v>
      </c>
      <c r="AL8" s="34">
        <f t="shared" si="2"/>
        <v>81.599999999999994</v>
      </c>
      <c r="AM8" s="34">
        <f t="shared" si="2"/>
        <v>83.1</v>
      </c>
      <c r="AN8" s="34">
        <f t="shared" si="0"/>
        <v>86.375</v>
      </c>
      <c r="AO8" s="34">
        <f t="shared" si="0"/>
        <v>80.5</v>
      </c>
      <c r="AP8" s="34">
        <f t="shared" si="0"/>
        <v>78</v>
      </c>
      <c r="AQ8" s="34">
        <f t="shared" si="0"/>
        <v>79.75</v>
      </c>
      <c r="AR8" s="34">
        <f t="shared" si="0"/>
        <v>79.400000000000006</v>
      </c>
      <c r="AS8" s="34">
        <f t="shared" si="0"/>
        <v>83</v>
      </c>
      <c r="AT8" s="34">
        <f t="shared" si="0"/>
        <v>78.900000000000006</v>
      </c>
      <c r="AU8" s="34">
        <f t="shared" si="0"/>
        <v>80.75</v>
      </c>
      <c r="AV8" s="34">
        <f t="shared" si="0"/>
        <v>78.5</v>
      </c>
      <c r="AW8" s="34">
        <f t="shared" si="0"/>
        <v>77</v>
      </c>
      <c r="AX8" s="34">
        <f t="shared" si="0"/>
        <v>80.666666666666657</v>
      </c>
      <c r="AY8" s="34">
        <f t="shared" si="0"/>
        <v>80.666666666666657</v>
      </c>
      <c r="AZ8" s="34">
        <f t="shared" si="0"/>
        <v>81.333333333333343</v>
      </c>
      <c r="BA8" s="35">
        <v>65.916666666666671</v>
      </c>
      <c r="BB8" s="36">
        <f t="shared" si="3"/>
        <v>1358.5583333333334</v>
      </c>
      <c r="BC8" s="37">
        <f t="shared" si="4"/>
        <v>79.915196078431379</v>
      </c>
      <c r="BD8" s="36">
        <f t="shared" si="1"/>
        <v>29</v>
      </c>
    </row>
    <row r="9" spans="1:56" x14ac:dyDescent="0.25">
      <c r="A9" s="29">
        <v>4</v>
      </c>
      <c r="B9" s="30" t="s">
        <v>36</v>
      </c>
      <c r="C9" s="31" t="s">
        <v>37</v>
      </c>
      <c r="D9" s="29" t="s">
        <v>38</v>
      </c>
      <c r="E9" s="21">
        <v>80.2</v>
      </c>
      <c r="F9" s="21">
        <v>79.599999999999994</v>
      </c>
      <c r="G9" s="21">
        <v>82.4</v>
      </c>
      <c r="H9" s="21">
        <v>82.75</v>
      </c>
      <c r="I9" s="21">
        <v>81.5</v>
      </c>
      <c r="J9" s="21">
        <v>82</v>
      </c>
      <c r="K9" s="21">
        <v>80.5</v>
      </c>
      <c r="L9" s="21">
        <v>80.400000000000006</v>
      </c>
      <c r="M9" s="21">
        <v>79.599999999999994</v>
      </c>
      <c r="N9" s="21">
        <v>78.2</v>
      </c>
      <c r="O9" s="21">
        <v>76.5</v>
      </c>
      <c r="P9" s="21">
        <v>74.5</v>
      </c>
      <c r="Q9" s="21">
        <v>76</v>
      </c>
      <c r="R9" s="21">
        <v>79.5</v>
      </c>
      <c r="S9" s="21">
        <v>80.666666666666671</v>
      </c>
      <c r="T9" s="21">
        <v>79.666666666666671</v>
      </c>
      <c r="U9" s="32">
        <v>90</v>
      </c>
      <c r="V9" s="32">
        <v>85</v>
      </c>
      <c r="W9" s="32">
        <v>88</v>
      </c>
      <c r="X9" s="32">
        <v>84</v>
      </c>
      <c r="Y9" s="33">
        <v>88</v>
      </c>
      <c r="Z9" s="32">
        <v>84</v>
      </c>
      <c r="AA9" s="32">
        <v>80</v>
      </c>
      <c r="AB9" s="32">
        <v>83</v>
      </c>
      <c r="AC9" s="32">
        <v>90</v>
      </c>
      <c r="AD9" s="32">
        <v>83</v>
      </c>
      <c r="AE9" s="32">
        <v>90</v>
      </c>
      <c r="AF9" s="32">
        <v>87</v>
      </c>
      <c r="AG9" s="32">
        <v>80</v>
      </c>
      <c r="AH9" s="32">
        <v>80</v>
      </c>
      <c r="AI9" s="32">
        <v>83</v>
      </c>
      <c r="AJ9" s="32">
        <v>84</v>
      </c>
      <c r="AK9" s="34">
        <f t="shared" si="5"/>
        <v>85.1</v>
      </c>
      <c r="AL9" s="34">
        <f t="shared" si="2"/>
        <v>82.3</v>
      </c>
      <c r="AM9" s="34">
        <f t="shared" si="2"/>
        <v>85.2</v>
      </c>
      <c r="AN9" s="34">
        <f t="shared" si="0"/>
        <v>83.375</v>
      </c>
      <c r="AO9" s="34">
        <f t="shared" si="0"/>
        <v>84.75</v>
      </c>
      <c r="AP9" s="34">
        <f t="shared" si="0"/>
        <v>83</v>
      </c>
      <c r="AQ9" s="34">
        <f t="shared" si="0"/>
        <v>80.25</v>
      </c>
      <c r="AR9" s="34">
        <f t="shared" si="0"/>
        <v>81.7</v>
      </c>
      <c r="AS9" s="34">
        <f t="shared" si="0"/>
        <v>84.8</v>
      </c>
      <c r="AT9" s="34">
        <f t="shared" si="0"/>
        <v>80.599999999999994</v>
      </c>
      <c r="AU9" s="34">
        <f t="shared" si="0"/>
        <v>83.25</v>
      </c>
      <c r="AV9" s="34">
        <f t="shared" si="0"/>
        <v>80.75</v>
      </c>
      <c r="AW9" s="34">
        <f t="shared" si="0"/>
        <v>78</v>
      </c>
      <c r="AX9" s="34">
        <f t="shared" si="0"/>
        <v>79.75</v>
      </c>
      <c r="AY9" s="34">
        <f t="shared" si="0"/>
        <v>81.833333333333343</v>
      </c>
      <c r="AZ9" s="34">
        <f t="shared" si="0"/>
        <v>81.833333333333343</v>
      </c>
      <c r="BA9" s="35">
        <v>89.25</v>
      </c>
      <c r="BB9" s="36">
        <f t="shared" si="3"/>
        <v>1405.7416666666663</v>
      </c>
      <c r="BC9" s="37">
        <f t="shared" si="4"/>
        <v>82.690686274509787</v>
      </c>
      <c r="BD9" s="36">
        <f t="shared" si="1"/>
        <v>17</v>
      </c>
    </row>
    <row r="10" spans="1:56" x14ac:dyDescent="0.25">
      <c r="A10" s="29">
        <v>5</v>
      </c>
      <c r="B10" s="30" t="s">
        <v>39</v>
      </c>
      <c r="C10" s="31" t="s">
        <v>40</v>
      </c>
      <c r="D10" s="29" t="s">
        <v>41</v>
      </c>
      <c r="E10" s="21">
        <v>82.8</v>
      </c>
      <c r="F10" s="21">
        <v>80.400000000000006</v>
      </c>
      <c r="G10" s="21">
        <v>82.8</v>
      </c>
      <c r="H10" s="21">
        <v>81.75</v>
      </c>
      <c r="I10" s="21">
        <v>82.25</v>
      </c>
      <c r="J10" s="21">
        <v>85</v>
      </c>
      <c r="K10" s="21">
        <v>80.25</v>
      </c>
      <c r="L10" s="21">
        <v>80.8</v>
      </c>
      <c r="M10" s="21">
        <v>80.400000000000006</v>
      </c>
      <c r="N10" s="21">
        <v>79.8</v>
      </c>
      <c r="O10" s="21">
        <v>78</v>
      </c>
      <c r="P10" s="21">
        <v>79.5</v>
      </c>
      <c r="Q10" s="21">
        <v>77</v>
      </c>
      <c r="R10" s="21">
        <v>81.083333333333329</v>
      </c>
      <c r="S10" s="21">
        <v>82.333333333333329</v>
      </c>
      <c r="T10" s="21">
        <v>79.333333333333329</v>
      </c>
      <c r="U10" s="32">
        <v>90</v>
      </c>
      <c r="V10" s="32">
        <v>86</v>
      </c>
      <c r="W10" s="32">
        <v>85</v>
      </c>
      <c r="X10" s="32">
        <v>85</v>
      </c>
      <c r="Y10" s="33">
        <v>88</v>
      </c>
      <c r="Z10" s="32">
        <v>85</v>
      </c>
      <c r="AA10" s="32">
        <v>80</v>
      </c>
      <c r="AB10" s="32">
        <v>90</v>
      </c>
      <c r="AC10" s="32">
        <v>90</v>
      </c>
      <c r="AD10" s="32">
        <v>90</v>
      </c>
      <c r="AE10" s="32">
        <v>88</v>
      </c>
      <c r="AF10" s="32">
        <v>87</v>
      </c>
      <c r="AG10" s="32">
        <v>84</v>
      </c>
      <c r="AH10" s="32">
        <v>81</v>
      </c>
      <c r="AI10" s="32">
        <v>85</v>
      </c>
      <c r="AJ10" s="32">
        <v>84</v>
      </c>
      <c r="AK10" s="34">
        <f t="shared" si="5"/>
        <v>86.4</v>
      </c>
      <c r="AL10" s="34">
        <f t="shared" si="2"/>
        <v>83.2</v>
      </c>
      <c r="AM10" s="34">
        <f t="shared" si="2"/>
        <v>83.9</v>
      </c>
      <c r="AN10" s="34">
        <f t="shared" si="0"/>
        <v>83.375</v>
      </c>
      <c r="AO10" s="34">
        <f t="shared" si="0"/>
        <v>85.125</v>
      </c>
      <c r="AP10" s="34">
        <f t="shared" si="0"/>
        <v>85</v>
      </c>
      <c r="AQ10" s="34">
        <f t="shared" si="0"/>
        <v>80.125</v>
      </c>
      <c r="AR10" s="34">
        <f t="shared" si="0"/>
        <v>85.4</v>
      </c>
      <c r="AS10" s="34">
        <f t="shared" si="0"/>
        <v>85.2</v>
      </c>
      <c r="AT10" s="34">
        <f t="shared" si="0"/>
        <v>84.9</v>
      </c>
      <c r="AU10" s="34">
        <f t="shared" si="0"/>
        <v>83</v>
      </c>
      <c r="AV10" s="34">
        <f t="shared" si="0"/>
        <v>83.25</v>
      </c>
      <c r="AW10" s="34">
        <f t="shared" si="0"/>
        <v>80.5</v>
      </c>
      <c r="AX10" s="34">
        <f t="shared" si="0"/>
        <v>81.041666666666657</v>
      </c>
      <c r="AY10" s="34">
        <f t="shared" si="0"/>
        <v>83.666666666666657</v>
      </c>
      <c r="AZ10" s="34">
        <f t="shared" si="0"/>
        <v>81.666666666666657</v>
      </c>
      <c r="BA10" s="35">
        <v>93.291666666666657</v>
      </c>
      <c r="BB10" s="36">
        <f t="shared" si="3"/>
        <v>1429.041666666667</v>
      </c>
      <c r="BC10" s="37">
        <f t="shared" si="4"/>
        <v>84.061274509803937</v>
      </c>
      <c r="BD10" s="36">
        <f t="shared" si="1"/>
        <v>7</v>
      </c>
    </row>
    <row r="11" spans="1:56" x14ac:dyDescent="0.25">
      <c r="A11" s="29">
        <v>6</v>
      </c>
      <c r="B11" s="30" t="s">
        <v>42</v>
      </c>
      <c r="C11" s="31" t="s">
        <v>43</v>
      </c>
      <c r="D11" s="29" t="s">
        <v>44</v>
      </c>
      <c r="E11" s="21">
        <v>80.599999999999994</v>
      </c>
      <c r="F11" s="21">
        <v>80.2</v>
      </c>
      <c r="G11" s="21">
        <v>80.8</v>
      </c>
      <c r="H11" s="21">
        <v>77</v>
      </c>
      <c r="I11" s="21">
        <v>81</v>
      </c>
      <c r="J11" s="21">
        <v>78.5</v>
      </c>
      <c r="K11" s="21">
        <v>80</v>
      </c>
      <c r="L11" s="21">
        <v>80.2</v>
      </c>
      <c r="M11" s="21">
        <v>80.8</v>
      </c>
      <c r="N11" s="21">
        <v>78</v>
      </c>
      <c r="O11" s="21">
        <v>76</v>
      </c>
      <c r="P11" s="21">
        <v>75.5</v>
      </c>
      <c r="Q11" s="21">
        <v>77</v>
      </c>
      <c r="R11" s="21">
        <v>81.5</v>
      </c>
      <c r="S11" s="21">
        <v>81.666666666666671</v>
      </c>
      <c r="T11" s="21">
        <v>80.666666666666671</v>
      </c>
      <c r="U11" s="32">
        <v>88</v>
      </c>
      <c r="V11" s="32">
        <v>85</v>
      </c>
      <c r="W11" s="32">
        <v>85</v>
      </c>
      <c r="X11" s="32">
        <v>84</v>
      </c>
      <c r="Y11" s="33">
        <v>89</v>
      </c>
      <c r="Z11" s="32">
        <v>84</v>
      </c>
      <c r="AA11" s="32">
        <v>80</v>
      </c>
      <c r="AB11" s="32">
        <v>86</v>
      </c>
      <c r="AC11" s="32">
        <v>90</v>
      </c>
      <c r="AD11" s="32">
        <v>86</v>
      </c>
      <c r="AE11" s="32">
        <v>88</v>
      </c>
      <c r="AF11" s="32">
        <v>86</v>
      </c>
      <c r="AG11" s="32">
        <v>80</v>
      </c>
      <c r="AH11" s="32">
        <v>82</v>
      </c>
      <c r="AI11" s="32">
        <v>84</v>
      </c>
      <c r="AJ11" s="32">
        <v>83</v>
      </c>
      <c r="AK11" s="34">
        <f t="shared" si="5"/>
        <v>84.3</v>
      </c>
      <c r="AL11" s="34">
        <f t="shared" si="2"/>
        <v>82.6</v>
      </c>
      <c r="AM11" s="34">
        <f t="shared" si="2"/>
        <v>82.9</v>
      </c>
      <c r="AN11" s="34">
        <f t="shared" si="0"/>
        <v>80.5</v>
      </c>
      <c r="AO11" s="34">
        <f t="shared" si="0"/>
        <v>85</v>
      </c>
      <c r="AP11" s="34">
        <f t="shared" si="0"/>
        <v>81.25</v>
      </c>
      <c r="AQ11" s="34">
        <f t="shared" si="0"/>
        <v>80</v>
      </c>
      <c r="AR11" s="34">
        <f t="shared" si="0"/>
        <v>83.1</v>
      </c>
      <c r="AS11" s="34">
        <f t="shared" si="0"/>
        <v>85.4</v>
      </c>
      <c r="AT11" s="34">
        <f t="shared" si="0"/>
        <v>82</v>
      </c>
      <c r="AU11" s="34">
        <f t="shared" si="0"/>
        <v>82</v>
      </c>
      <c r="AV11" s="34">
        <f t="shared" si="0"/>
        <v>80.75</v>
      </c>
      <c r="AW11" s="34">
        <f t="shared" si="0"/>
        <v>78.5</v>
      </c>
      <c r="AX11" s="34">
        <f t="shared" si="0"/>
        <v>81.75</v>
      </c>
      <c r="AY11" s="34">
        <f t="shared" si="0"/>
        <v>82.833333333333343</v>
      </c>
      <c r="AZ11" s="34">
        <f t="shared" si="0"/>
        <v>81.833333333333343</v>
      </c>
      <c r="BA11" s="35">
        <v>84.9375</v>
      </c>
      <c r="BB11" s="36">
        <f t="shared" si="3"/>
        <v>1399.6541666666665</v>
      </c>
      <c r="BC11" s="37">
        <f t="shared" si="4"/>
        <v>82.332598039215668</v>
      </c>
      <c r="BD11" s="36">
        <f t="shared" si="1"/>
        <v>18</v>
      </c>
    </row>
    <row r="12" spans="1:56" x14ac:dyDescent="0.25">
      <c r="A12" s="29">
        <v>7</v>
      </c>
      <c r="B12" s="30" t="s">
        <v>45</v>
      </c>
      <c r="C12" s="31" t="s">
        <v>46</v>
      </c>
      <c r="D12" s="29" t="s">
        <v>47</v>
      </c>
      <c r="E12" s="21">
        <v>81.400000000000006</v>
      </c>
      <c r="F12" s="21">
        <v>79.400000000000006</v>
      </c>
      <c r="G12" s="21">
        <v>79.599999999999994</v>
      </c>
      <c r="H12" s="21">
        <v>76.5</v>
      </c>
      <c r="I12" s="21">
        <v>79</v>
      </c>
      <c r="J12" s="21">
        <v>80.5</v>
      </c>
      <c r="K12" s="21">
        <v>80.25</v>
      </c>
      <c r="L12" s="21">
        <v>79.400000000000006</v>
      </c>
      <c r="M12" s="21">
        <v>77.400000000000006</v>
      </c>
      <c r="N12" s="21">
        <v>77.8</v>
      </c>
      <c r="O12" s="21">
        <v>76.5</v>
      </c>
      <c r="P12" s="21">
        <v>72.5</v>
      </c>
      <c r="Q12" s="21">
        <v>76</v>
      </c>
      <c r="R12" s="21">
        <v>79.166666666666671</v>
      </c>
      <c r="S12" s="21">
        <v>81</v>
      </c>
      <c r="T12" s="21">
        <v>80.333333333333329</v>
      </c>
      <c r="U12" s="32">
        <v>90</v>
      </c>
      <c r="V12" s="32">
        <v>84</v>
      </c>
      <c r="W12" s="32">
        <v>82</v>
      </c>
      <c r="X12" s="32">
        <v>84</v>
      </c>
      <c r="Y12" s="33">
        <v>83</v>
      </c>
      <c r="Z12" s="32">
        <v>83</v>
      </c>
      <c r="AA12" s="32">
        <v>80</v>
      </c>
      <c r="AB12" s="32">
        <v>88</v>
      </c>
      <c r="AC12" s="32">
        <v>90</v>
      </c>
      <c r="AD12" s="32">
        <v>88</v>
      </c>
      <c r="AE12" s="32">
        <v>88</v>
      </c>
      <c r="AF12" s="32">
        <v>85</v>
      </c>
      <c r="AG12" s="32">
        <v>82</v>
      </c>
      <c r="AH12" s="32">
        <v>81</v>
      </c>
      <c r="AI12" s="32">
        <v>84</v>
      </c>
      <c r="AJ12" s="32">
        <v>83</v>
      </c>
      <c r="AK12" s="34">
        <f t="shared" si="5"/>
        <v>85.7</v>
      </c>
      <c r="AL12" s="34">
        <f t="shared" si="2"/>
        <v>81.7</v>
      </c>
      <c r="AM12" s="34">
        <f t="shared" si="2"/>
        <v>80.8</v>
      </c>
      <c r="AN12" s="34">
        <f t="shared" si="0"/>
        <v>80.25</v>
      </c>
      <c r="AO12" s="34">
        <f t="shared" si="0"/>
        <v>81</v>
      </c>
      <c r="AP12" s="34">
        <f t="shared" si="0"/>
        <v>81.75</v>
      </c>
      <c r="AQ12" s="34">
        <f t="shared" si="0"/>
        <v>80.125</v>
      </c>
      <c r="AR12" s="34">
        <f t="shared" si="0"/>
        <v>83.7</v>
      </c>
      <c r="AS12" s="34">
        <f t="shared" si="0"/>
        <v>83.7</v>
      </c>
      <c r="AT12" s="34">
        <f t="shared" si="0"/>
        <v>82.9</v>
      </c>
      <c r="AU12" s="34">
        <f t="shared" si="0"/>
        <v>82.25</v>
      </c>
      <c r="AV12" s="34">
        <f t="shared" si="0"/>
        <v>78.75</v>
      </c>
      <c r="AW12" s="34">
        <f t="shared" si="0"/>
        <v>79</v>
      </c>
      <c r="AX12" s="34">
        <f t="shared" si="0"/>
        <v>80.083333333333343</v>
      </c>
      <c r="AY12" s="34">
        <f t="shared" si="0"/>
        <v>82.5</v>
      </c>
      <c r="AZ12" s="34">
        <f t="shared" si="0"/>
        <v>81.666666666666657</v>
      </c>
      <c r="BA12" s="35">
        <v>76.5</v>
      </c>
      <c r="BB12" s="36">
        <f t="shared" si="3"/>
        <v>1382.375</v>
      </c>
      <c r="BC12" s="37">
        <f t="shared" si="4"/>
        <v>81.316176470588232</v>
      </c>
      <c r="BD12" s="36">
        <f t="shared" si="1"/>
        <v>25</v>
      </c>
    </row>
    <row r="13" spans="1:56" x14ac:dyDescent="0.25">
      <c r="A13" s="29">
        <v>8</v>
      </c>
      <c r="B13" s="30" t="s">
        <v>48</v>
      </c>
      <c r="C13" s="31" t="s">
        <v>49</v>
      </c>
      <c r="D13" s="29" t="s">
        <v>50</v>
      </c>
      <c r="E13" s="21">
        <v>81.400000000000006</v>
      </c>
      <c r="F13" s="21">
        <v>79.8</v>
      </c>
      <c r="G13" s="21">
        <v>78.599999999999994</v>
      </c>
      <c r="H13" s="21">
        <v>82.75</v>
      </c>
      <c r="I13" s="21">
        <v>77.25</v>
      </c>
      <c r="J13" s="21">
        <v>78.5</v>
      </c>
      <c r="K13" s="21">
        <v>80.25</v>
      </c>
      <c r="L13" s="21">
        <v>78.2</v>
      </c>
      <c r="M13" s="21">
        <v>78.8</v>
      </c>
      <c r="N13" s="21">
        <v>78</v>
      </c>
      <c r="O13" s="21">
        <v>79</v>
      </c>
      <c r="P13" s="21">
        <v>75</v>
      </c>
      <c r="Q13" s="21">
        <v>77.5</v>
      </c>
      <c r="R13" s="21">
        <v>78.75</v>
      </c>
      <c r="S13" s="21">
        <v>80.333333333333329</v>
      </c>
      <c r="T13" s="21">
        <v>80</v>
      </c>
      <c r="U13" s="32">
        <v>88</v>
      </c>
      <c r="V13" s="32">
        <v>84</v>
      </c>
      <c r="W13" s="32">
        <v>84</v>
      </c>
      <c r="X13" s="32">
        <v>89</v>
      </c>
      <c r="Y13" s="33">
        <v>85</v>
      </c>
      <c r="Z13" s="32">
        <v>83</v>
      </c>
      <c r="AA13" s="32">
        <v>80</v>
      </c>
      <c r="AB13" s="32">
        <v>88</v>
      </c>
      <c r="AC13" s="32">
        <v>89</v>
      </c>
      <c r="AD13" s="32">
        <v>88</v>
      </c>
      <c r="AE13" s="32">
        <v>87</v>
      </c>
      <c r="AF13" s="32">
        <v>83</v>
      </c>
      <c r="AG13" s="32">
        <v>92</v>
      </c>
      <c r="AH13" s="32">
        <v>88</v>
      </c>
      <c r="AI13" s="32">
        <v>81</v>
      </c>
      <c r="AJ13" s="32">
        <v>84</v>
      </c>
      <c r="AK13" s="34">
        <f t="shared" si="5"/>
        <v>84.7</v>
      </c>
      <c r="AL13" s="34">
        <f t="shared" si="2"/>
        <v>81.900000000000006</v>
      </c>
      <c r="AM13" s="34">
        <f t="shared" si="2"/>
        <v>81.3</v>
      </c>
      <c r="AN13" s="34">
        <f t="shared" si="0"/>
        <v>85.875</v>
      </c>
      <c r="AO13" s="34">
        <f t="shared" si="0"/>
        <v>81.125</v>
      </c>
      <c r="AP13" s="34">
        <f t="shared" si="0"/>
        <v>80.75</v>
      </c>
      <c r="AQ13" s="34">
        <f t="shared" si="0"/>
        <v>80.125</v>
      </c>
      <c r="AR13" s="34">
        <f t="shared" si="0"/>
        <v>83.1</v>
      </c>
      <c r="AS13" s="34">
        <f t="shared" si="0"/>
        <v>83.9</v>
      </c>
      <c r="AT13" s="34">
        <f t="shared" si="0"/>
        <v>83</v>
      </c>
      <c r="AU13" s="34">
        <f t="shared" si="0"/>
        <v>83</v>
      </c>
      <c r="AV13" s="34">
        <f t="shared" si="0"/>
        <v>79</v>
      </c>
      <c r="AW13" s="34">
        <f t="shared" si="0"/>
        <v>84.75</v>
      </c>
      <c r="AX13" s="34">
        <f t="shared" si="0"/>
        <v>83.375</v>
      </c>
      <c r="AY13" s="34">
        <f t="shared" si="0"/>
        <v>80.666666666666657</v>
      </c>
      <c r="AZ13" s="34">
        <f t="shared" si="0"/>
        <v>82</v>
      </c>
      <c r="BA13" s="35">
        <v>75.9375</v>
      </c>
      <c r="BB13" s="36">
        <f t="shared" si="3"/>
        <v>1394.5041666666668</v>
      </c>
      <c r="BC13" s="37">
        <f t="shared" si="4"/>
        <v>82.029656862745114</v>
      </c>
      <c r="BD13" s="36">
        <f t="shared" si="1"/>
        <v>20</v>
      </c>
    </row>
    <row r="14" spans="1:56" x14ac:dyDescent="0.25">
      <c r="A14" s="29">
        <v>9</v>
      </c>
      <c r="B14" s="30" t="s">
        <v>51</v>
      </c>
      <c r="C14" s="31" t="s">
        <v>52</v>
      </c>
      <c r="D14" s="29" t="s">
        <v>53</v>
      </c>
      <c r="E14" s="21">
        <v>82.4</v>
      </c>
      <c r="F14" s="21">
        <v>80.8</v>
      </c>
      <c r="G14" s="21">
        <v>83.2</v>
      </c>
      <c r="H14" s="21">
        <v>79.5</v>
      </c>
      <c r="I14" s="21">
        <v>81.5</v>
      </c>
      <c r="J14" s="21">
        <v>84.5</v>
      </c>
      <c r="K14" s="21">
        <v>80.25</v>
      </c>
      <c r="L14" s="21">
        <v>81.2</v>
      </c>
      <c r="M14" s="21">
        <v>81.2</v>
      </c>
      <c r="N14" s="21">
        <v>83.2</v>
      </c>
      <c r="O14" s="21">
        <v>78.5</v>
      </c>
      <c r="P14" s="21">
        <v>77.5</v>
      </c>
      <c r="Q14" s="21">
        <v>76</v>
      </c>
      <c r="R14" s="21">
        <v>80.833333333333329</v>
      </c>
      <c r="S14" s="21">
        <v>83</v>
      </c>
      <c r="T14" s="21">
        <v>80</v>
      </c>
      <c r="U14" s="32">
        <v>90</v>
      </c>
      <c r="V14" s="32">
        <v>86</v>
      </c>
      <c r="W14" s="32">
        <v>85</v>
      </c>
      <c r="X14" s="32">
        <v>87</v>
      </c>
      <c r="Y14" s="33">
        <v>88</v>
      </c>
      <c r="Z14" s="32">
        <v>85</v>
      </c>
      <c r="AA14" s="32">
        <v>88</v>
      </c>
      <c r="AB14" s="32">
        <v>90</v>
      </c>
      <c r="AC14" s="32">
        <v>95</v>
      </c>
      <c r="AD14" s="32">
        <v>95</v>
      </c>
      <c r="AE14" s="32">
        <v>91</v>
      </c>
      <c r="AF14" s="32">
        <v>88</v>
      </c>
      <c r="AG14" s="32">
        <v>90</v>
      </c>
      <c r="AH14" s="32">
        <v>87</v>
      </c>
      <c r="AI14" s="32">
        <v>85</v>
      </c>
      <c r="AJ14" s="32">
        <v>86</v>
      </c>
      <c r="AK14" s="34">
        <f t="shared" si="5"/>
        <v>86.2</v>
      </c>
      <c r="AL14" s="34">
        <f t="shared" si="2"/>
        <v>83.4</v>
      </c>
      <c r="AM14" s="34">
        <f t="shared" si="2"/>
        <v>84.1</v>
      </c>
      <c r="AN14" s="34">
        <f t="shared" si="0"/>
        <v>83.25</v>
      </c>
      <c r="AO14" s="34">
        <f t="shared" si="0"/>
        <v>84.75</v>
      </c>
      <c r="AP14" s="34">
        <f t="shared" si="0"/>
        <v>84.75</v>
      </c>
      <c r="AQ14" s="34">
        <f t="shared" si="0"/>
        <v>84.125</v>
      </c>
      <c r="AR14" s="34">
        <f t="shared" si="0"/>
        <v>85.6</v>
      </c>
      <c r="AS14" s="34">
        <f t="shared" si="0"/>
        <v>88.1</v>
      </c>
      <c r="AT14" s="34">
        <f t="shared" si="0"/>
        <v>89.1</v>
      </c>
      <c r="AU14" s="34">
        <f t="shared" si="0"/>
        <v>84.75</v>
      </c>
      <c r="AV14" s="34">
        <f t="shared" si="0"/>
        <v>82.75</v>
      </c>
      <c r="AW14" s="34">
        <f t="shared" si="0"/>
        <v>83</v>
      </c>
      <c r="AX14" s="34">
        <f t="shared" si="0"/>
        <v>83.916666666666657</v>
      </c>
      <c r="AY14" s="34">
        <f t="shared" si="0"/>
        <v>84</v>
      </c>
      <c r="AZ14" s="34">
        <f t="shared" si="0"/>
        <v>83</v>
      </c>
      <c r="BA14" s="35">
        <v>89.520833333333343</v>
      </c>
      <c r="BB14" s="36">
        <f t="shared" si="3"/>
        <v>1444.3125</v>
      </c>
      <c r="BC14" s="37">
        <f t="shared" si="4"/>
        <v>84.959558823529406</v>
      </c>
      <c r="BD14" s="36">
        <f t="shared" si="1"/>
        <v>4</v>
      </c>
    </row>
    <row r="15" spans="1:56" x14ac:dyDescent="0.25">
      <c r="A15" s="29">
        <v>10</v>
      </c>
      <c r="B15" s="30" t="s">
        <v>54</v>
      </c>
      <c r="C15" s="31" t="s">
        <v>55</v>
      </c>
      <c r="D15" s="29" t="s">
        <v>56</v>
      </c>
      <c r="E15" s="21">
        <v>81.8</v>
      </c>
      <c r="F15" s="21">
        <v>80.599999999999994</v>
      </c>
      <c r="G15" s="21">
        <v>81.400000000000006</v>
      </c>
      <c r="H15" s="21">
        <v>79.25</v>
      </c>
      <c r="I15" s="21">
        <v>82</v>
      </c>
      <c r="J15" s="21">
        <v>85.5</v>
      </c>
      <c r="K15" s="21">
        <v>80</v>
      </c>
      <c r="L15" s="21">
        <v>81.2</v>
      </c>
      <c r="M15" s="21">
        <v>80.8</v>
      </c>
      <c r="N15" s="21">
        <v>78.400000000000006</v>
      </c>
      <c r="O15" s="21">
        <v>77</v>
      </c>
      <c r="P15" s="21">
        <v>77</v>
      </c>
      <c r="Q15" s="21">
        <v>77.5</v>
      </c>
      <c r="R15" s="21">
        <v>82.5</v>
      </c>
      <c r="S15" s="21">
        <v>82.333333333333329</v>
      </c>
      <c r="T15" s="21">
        <v>80</v>
      </c>
      <c r="U15" s="32">
        <v>88</v>
      </c>
      <c r="V15" s="32">
        <v>85</v>
      </c>
      <c r="W15" s="32">
        <v>85</v>
      </c>
      <c r="X15" s="32">
        <v>85</v>
      </c>
      <c r="Y15" s="33">
        <v>88</v>
      </c>
      <c r="Z15" s="32">
        <v>85</v>
      </c>
      <c r="AA15" s="32">
        <v>84</v>
      </c>
      <c r="AB15" s="32">
        <v>88</v>
      </c>
      <c r="AC15" s="32">
        <v>92</v>
      </c>
      <c r="AD15" s="32">
        <v>88</v>
      </c>
      <c r="AE15" s="32">
        <v>88</v>
      </c>
      <c r="AF15" s="32">
        <v>88</v>
      </c>
      <c r="AG15" s="32">
        <v>96</v>
      </c>
      <c r="AH15" s="32">
        <v>89</v>
      </c>
      <c r="AI15" s="32">
        <v>90</v>
      </c>
      <c r="AJ15" s="32">
        <v>87</v>
      </c>
      <c r="AK15" s="34">
        <f t="shared" si="5"/>
        <v>84.9</v>
      </c>
      <c r="AL15" s="34">
        <f t="shared" si="2"/>
        <v>82.8</v>
      </c>
      <c r="AM15" s="34">
        <f t="shared" si="2"/>
        <v>83.2</v>
      </c>
      <c r="AN15" s="34">
        <f t="shared" si="0"/>
        <v>82.125</v>
      </c>
      <c r="AO15" s="34">
        <f t="shared" si="0"/>
        <v>85</v>
      </c>
      <c r="AP15" s="34">
        <f t="shared" si="0"/>
        <v>85.25</v>
      </c>
      <c r="AQ15" s="34">
        <f t="shared" si="0"/>
        <v>82</v>
      </c>
      <c r="AR15" s="34">
        <f t="shared" si="0"/>
        <v>84.6</v>
      </c>
      <c r="AS15" s="34">
        <f t="shared" si="0"/>
        <v>86.4</v>
      </c>
      <c r="AT15" s="34">
        <f t="shared" si="0"/>
        <v>83.2</v>
      </c>
      <c r="AU15" s="34">
        <f t="shared" si="0"/>
        <v>82.5</v>
      </c>
      <c r="AV15" s="34">
        <f t="shared" si="0"/>
        <v>82.5</v>
      </c>
      <c r="AW15" s="34">
        <f t="shared" si="0"/>
        <v>86.75</v>
      </c>
      <c r="AX15" s="34">
        <f t="shared" si="0"/>
        <v>85.75</v>
      </c>
      <c r="AY15" s="34">
        <f t="shared" si="0"/>
        <v>86.166666666666657</v>
      </c>
      <c r="AZ15" s="34">
        <f t="shared" si="0"/>
        <v>83.5</v>
      </c>
      <c r="BA15" s="35">
        <v>78.979166666666671</v>
      </c>
      <c r="BB15" s="36">
        <f t="shared" si="3"/>
        <v>1425.6208333333334</v>
      </c>
      <c r="BC15" s="37">
        <f t="shared" si="4"/>
        <v>83.860049019607843</v>
      </c>
      <c r="BD15" s="36">
        <f t="shared" si="1"/>
        <v>8</v>
      </c>
    </row>
    <row r="16" spans="1:56" x14ac:dyDescent="0.25">
      <c r="A16" s="29">
        <v>11</v>
      </c>
      <c r="B16" s="30" t="s">
        <v>57</v>
      </c>
      <c r="C16" s="31" t="s">
        <v>58</v>
      </c>
      <c r="D16" s="29" t="s">
        <v>59</v>
      </c>
      <c r="E16" s="21">
        <v>83.8</v>
      </c>
      <c r="F16" s="21">
        <v>81</v>
      </c>
      <c r="G16" s="21">
        <v>84.4</v>
      </c>
      <c r="H16" s="21">
        <v>82.75</v>
      </c>
      <c r="I16" s="21">
        <v>80.5</v>
      </c>
      <c r="J16" s="21">
        <v>84.5</v>
      </c>
      <c r="K16" s="21">
        <v>80.25</v>
      </c>
      <c r="L16" s="21">
        <v>80.2</v>
      </c>
      <c r="M16" s="21">
        <v>83.4</v>
      </c>
      <c r="N16" s="21">
        <v>81.400000000000006</v>
      </c>
      <c r="O16" s="21">
        <v>81</v>
      </c>
      <c r="P16" s="21">
        <v>82.5</v>
      </c>
      <c r="Q16" s="21">
        <v>78</v>
      </c>
      <c r="R16" s="21">
        <v>84</v>
      </c>
      <c r="S16" s="21">
        <v>85</v>
      </c>
      <c r="T16" s="21">
        <v>81.666666666666671</v>
      </c>
      <c r="U16" s="32">
        <v>90</v>
      </c>
      <c r="V16" s="32">
        <v>85</v>
      </c>
      <c r="W16" s="32">
        <v>89</v>
      </c>
      <c r="X16" s="32">
        <v>88</v>
      </c>
      <c r="Y16" s="33">
        <v>92</v>
      </c>
      <c r="Z16" s="32">
        <v>85</v>
      </c>
      <c r="AA16" s="32">
        <v>80</v>
      </c>
      <c r="AB16" s="32">
        <v>90</v>
      </c>
      <c r="AC16" s="32">
        <v>95</v>
      </c>
      <c r="AD16" s="32">
        <v>95</v>
      </c>
      <c r="AE16" s="32">
        <v>88</v>
      </c>
      <c r="AF16" s="32">
        <v>86</v>
      </c>
      <c r="AG16" s="32">
        <v>88</v>
      </c>
      <c r="AH16" s="32">
        <v>84</v>
      </c>
      <c r="AI16" s="32">
        <v>87</v>
      </c>
      <c r="AJ16" s="32">
        <v>88</v>
      </c>
      <c r="AK16" s="34">
        <f t="shared" si="5"/>
        <v>86.9</v>
      </c>
      <c r="AL16" s="34">
        <f t="shared" si="2"/>
        <v>83</v>
      </c>
      <c r="AM16" s="34">
        <f t="shared" si="2"/>
        <v>86.7</v>
      </c>
      <c r="AN16" s="34">
        <f t="shared" si="0"/>
        <v>85.375</v>
      </c>
      <c r="AO16" s="34">
        <f t="shared" si="0"/>
        <v>86.25</v>
      </c>
      <c r="AP16" s="34">
        <f t="shared" si="0"/>
        <v>84.75</v>
      </c>
      <c r="AQ16" s="34">
        <f t="shared" si="0"/>
        <v>80.125</v>
      </c>
      <c r="AR16" s="34">
        <f t="shared" si="0"/>
        <v>85.1</v>
      </c>
      <c r="AS16" s="34">
        <f t="shared" si="0"/>
        <v>89.2</v>
      </c>
      <c r="AT16" s="34">
        <f t="shared" si="0"/>
        <v>88.2</v>
      </c>
      <c r="AU16" s="34">
        <f t="shared" si="0"/>
        <v>84.5</v>
      </c>
      <c r="AV16" s="34">
        <f t="shared" si="0"/>
        <v>84.25</v>
      </c>
      <c r="AW16" s="34">
        <f t="shared" si="0"/>
        <v>83</v>
      </c>
      <c r="AX16" s="34">
        <f t="shared" si="0"/>
        <v>84</v>
      </c>
      <c r="AY16" s="34">
        <f t="shared" si="0"/>
        <v>86</v>
      </c>
      <c r="AZ16" s="34">
        <f t="shared" si="0"/>
        <v>84.833333333333343</v>
      </c>
      <c r="BA16" s="35">
        <v>92.041666666666671</v>
      </c>
      <c r="BB16" s="36">
        <f t="shared" si="3"/>
        <v>1454.2250000000001</v>
      </c>
      <c r="BC16" s="37">
        <f t="shared" si="4"/>
        <v>85.542647058823533</v>
      </c>
      <c r="BD16" s="36">
        <f t="shared" si="1"/>
        <v>3</v>
      </c>
    </row>
    <row r="17" spans="1:56" x14ac:dyDescent="0.25">
      <c r="A17" s="29">
        <v>12</v>
      </c>
      <c r="B17" s="30" t="s">
        <v>60</v>
      </c>
      <c r="C17" s="31" t="s">
        <v>61</v>
      </c>
      <c r="D17" s="29" t="s">
        <v>62</v>
      </c>
      <c r="E17" s="21">
        <v>83</v>
      </c>
      <c r="F17" s="21">
        <v>80.8</v>
      </c>
      <c r="G17" s="21">
        <v>84.4</v>
      </c>
      <c r="H17" s="21">
        <v>79.5</v>
      </c>
      <c r="I17" s="21">
        <v>80.25</v>
      </c>
      <c r="J17" s="21">
        <v>85.5</v>
      </c>
      <c r="K17" s="21">
        <v>80.25</v>
      </c>
      <c r="L17" s="21">
        <v>80</v>
      </c>
      <c r="M17" s="21">
        <v>82.6</v>
      </c>
      <c r="N17" s="21">
        <v>81.2</v>
      </c>
      <c r="O17" s="21">
        <v>78.5</v>
      </c>
      <c r="P17" s="21">
        <v>80.5</v>
      </c>
      <c r="Q17" s="21">
        <v>77</v>
      </c>
      <c r="R17" s="21">
        <v>83</v>
      </c>
      <c r="S17" s="21">
        <v>83.333333333333329</v>
      </c>
      <c r="T17" s="21">
        <v>81.333333333333329</v>
      </c>
      <c r="U17" s="32">
        <v>92</v>
      </c>
      <c r="V17" s="32">
        <v>86</v>
      </c>
      <c r="W17" s="32">
        <v>89</v>
      </c>
      <c r="X17" s="32">
        <v>87</v>
      </c>
      <c r="Y17" s="33">
        <v>89</v>
      </c>
      <c r="Z17" s="32">
        <v>85</v>
      </c>
      <c r="AA17" s="32">
        <v>88</v>
      </c>
      <c r="AB17" s="32">
        <v>90</v>
      </c>
      <c r="AC17" s="32">
        <v>90</v>
      </c>
      <c r="AD17" s="32">
        <v>92</v>
      </c>
      <c r="AE17" s="32">
        <v>92</v>
      </c>
      <c r="AF17" s="32">
        <v>86</v>
      </c>
      <c r="AG17" s="32">
        <v>90</v>
      </c>
      <c r="AH17" s="32">
        <v>90</v>
      </c>
      <c r="AI17" s="32">
        <v>64</v>
      </c>
      <c r="AJ17" s="32">
        <v>85</v>
      </c>
      <c r="AK17" s="34">
        <f t="shared" si="5"/>
        <v>87.5</v>
      </c>
      <c r="AL17" s="34">
        <f t="shared" si="2"/>
        <v>83.4</v>
      </c>
      <c r="AM17" s="34">
        <f t="shared" si="2"/>
        <v>86.7</v>
      </c>
      <c r="AN17" s="34">
        <f t="shared" si="0"/>
        <v>83.25</v>
      </c>
      <c r="AO17" s="34">
        <f t="shared" si="0"/>
        <v>84.625</v>
      </c>
      <c r="AP17" s="34">
        <f t="shared" si="0"/>
        <v>85.25</v>
      </c>
      <c r="AQ17" s="34">
        <f t="shared" si="0"/>
        <v>84.125</v>
      </c>
      <c r="AR17" s="34">
        <f t="shared" si="0"/>
        <v>85</v>
      </c>
      <c r="AS17" s="34">
        <f t="shared" si="0"/>
        <v>86.3</v>
      </c>
      <c r="AT17" s="34">
        <f t="shared" si="0"/>
        <v>86.6</v>
      </c>
      <c r="AU17" s="34">
        <f t="shared" si="0"/>
        <v>85.25</v>
      </c>
      <c r="AV17" s="34">
        <f t="shared" si="0"/>
        <v>83.25</v>
      </c>
      <c r="AW17" s="34">
        <f t="shared" si="0"/>
        <v>83.5</v>
      </c>
      <c r="AX17" s="34">
        <f t="shared" si="0"/>
        <v>86.5</v>
      </c>
      <c r="AY17" s="34">
        <f t="shared" si="0"/>
        <v>73.666666666666657</v>
      </c>
      <c r="AZ17" s="34">
        <f t="shared" si="0"/>
        <v>83.166666666666657</v>
      </c>
      <c r="BA17" s="35">
        <v>90.458333333333343</v>
      </c>
      <c r="BB17" s="36">
        <f t="shared" si="3"/>
        <v>1438.5416666666667</v>
      </c>
      <c r="BC17" s="37">
        <f t="shared" si="4"/>
        <v>84.620098039215691</v>
      </c>
      <c r="BD17" s="36">
        <f t="shared" si="1"/>
        <v>6</v>
      </c>
    </row>
    <row r="18" spans="1:56" x14ac:dyDescent="0.25">
      <c r="A18" s="29">
        <v>13</v>
      </c>
      <c r="B18" s="30" t="s">
        <v>63</v>
      </c>
      <c r="C18" s="31" t="s">
        <v>64</v>
      </c>
      <c r="D18" s="29" t="s">
        <v>65</v>
      </c>
      <c r="E18" s="21">
        <v>79.8</v>
      </c>
      <c r="F18" s="21">
        <v>79.8</v>
      </c>
      <c r="G18" s="21">
        <v>80.400000000000006</v>
      </c>
      <c r="H18" s="21">
        <v>77.25</v>
      </c>
      <c r="I18" s="21">
        <v>79.5</v>
      </c>
      <c r="J18" s="21">
        <v>85.5</v>
      </c>
      <c r="K18" s="21">
        <v>80</v>
      </c>
      <c r="L18" s="21">
        <v>79.8</v>
      </c>
      <c r="M18" s="21">
        <v>80.400000000000006</v>
      </c>
      <c r="N18" s="21">
        <v>78.400000000000006</v>
      </c>
      <c r="O18" s="21">
        <v>75</v>
      </c>
      <c r="P18" s="21">
        <v>76.5</v>
      </c>
      <c r="Q18" s="21">
        <v>75.5</v>
      </c>
      <c r="R18" s="21">
        <v>79</v>
      </c>
      <c r="S18" s="21">
        <v>81.333333333333329</v>
      </c>
      <c r="T18" s="21">
        <v>78</v>
      </c>
      <c r="U18" s="32">
        <v>86</v>
      </c>
      <c r="V18" s="32">
        <v>84</v>
      </c>
      <c r="W18" s="32">
        <v>84</v>
      </c>
      <c r="X18" s="32">
        <v>84</v>
      </c>
      <c r="Y18" s="33">
        <v>88</v>
      </c>
      <c r="Z18" s="32">
        <v>84</v>
      </c>
      <c r="AA18" s="32">
        <v>80</v>
      </c>
      <c r="AB18" s="32">
        <v>83</v>
      </c>
      <c r="AC18" s="32">
        <v>89</v>
      </c>
      <c r="AD18" s="32">
        <v>83</v>
      </c>
      <c r="AE18" s="32">
        <v>86</v>
      </c>
      <c r="AF18" s="32">
        <v>86</v>
      </c>
      <c r="AG18" s="32">
        <v>82</v>
      </c>
      <c r="AH18" s="32">
        <v>83</v>
      </c>
      <c r="AI18" s="32">
        <v>84</v>
      </c>
      <c r="AJ18" s="32">
        <v>84</v>
      </c>
      <c r="AK18" s="34">
        <f t="shared" si="5"/>
        <v>82.9</v>
      </c>
      <c r="AL18" s="34">
        <f t="shared" si="2"/>
        <v>81.900000000000006</v>
      </c>
      <c r="AM18" s="34">
        <f t="shared" si="2"/>
        <v>82.2</v>
      </c>
      <c r="AN18" s="34">
        <f t="shared" si="0"/>
        <v>80.625</v>
      </c>
      <c r="AO18" s="34">
        <f t="shared" si="0"/>
        <v>83.75</v>
      </c>
      <c r="AP18" s="34">
        <f t="shared" si="0"/>
        <v>84.75</v>
      </c>
      <c r="AQ18" s="34">
        <f t="shared" si="0"/>
        <v>80</v>
      </c>
      <c r="AR18" s="34">
        <f t="shared" si="0"/>
        <v>81.400000000000006</v>
      </c>
      <c r="AS18" s="34">
        <f t="shared" si="0"/>
        <v>84.7</v>
      </c>
      <c r="AT18" s="34">
        <f t="shared" si="0"/>
        <v>80.7</v>
      </c>
      <c r="AU18" s="34">
        <f t="shared" si="0"/>
        <v>80.5</v>
      </c>
      <c r="AV18" s="34">
        <f t="shared" si="0"/>
        <v>81.25</v>
      </c>
      <c r="AW18" s="34">
        <f t="shared" si="0"/>
        <v>78.75</v>
      </c>
      <c r="AX18" s="34">
        <f t="shared" si="0"/>
        <v>81</v>
      </c>
      <c r="AY18" s="34">
        <f t="shared" si="0"/>
        <v>82.666666666666657</v>
      </c>
      <c r="AZ18" s="34">
        <f t="shared" si="0"/>
        <v>81</v>
      </c>
      <c r="BA18" s="35">
        <v>86.395833333333329</v>
      </c>
      <c r="BB18" s="36">
        <f t="shared" si="3"/>
        <v>1394.4875000000002</v>
      </c>
      <c r="BC18" s="37">
        <f t="shared" si="4"/>
        <v>82.028676470588252</v>
      </c>
      <c r="BD18" s="36">
        <f t="shared" si="1"/>
        <v>21</v>
      </c>
    </row>
    <row r="19" spans="1:56" x14ac:dyDescent="0.25">
      <c r="A19" s="29">
        <v>14</v>
      </c>
      <c r="B19" s="30" t="s">
        <v>66</v>
      </c>
      <c r="C19" s="31" t="s">
        <v>67</v>
      </c>
      <c r="D19" s="29" t="s">
        <v>68</v>
      </c>
      <c r="E19" s="21">
        <v>77.2</v>
      </c>
      <c r="F19" s="21">
        <v>79</v>
      </c>
      <c r="G19" s="21">
        <v>77.2</v>
      </c>
      <c r="H19" s="21">
        <v>83.75</v>
      </c>
      <c r="I19" s="21">
        <v>77.75</v>
      </c>
      <c r="J19" s="21">
        <v>74.5</v>
      </c>
      <c r="K19" s="21">
        <v>79</v>
      </c>
      <c r="L19" s="21">
        <v>78.2</v>
      </c>
      <c r="M19" s="21">
        <v>77.2</v>
      </c>
      <c r="N19" s="21">
        <v>76.400000000000006</v>
      </c>
      <c r="O19" s="21">
        <v>75.5</v>
      </c>
      <c r="P19" s="21">
        <v>71.5</v>
      </c>
      <c r="Q19" s="21">
        <v>75.5</v>
      </c>
      <c r="R19" s="21">
        <v>77.916666666666671</v>
      </c>
      <c r="S19" s="21">
        <v>73.333333333333329</v>
      </c>
      <c r="T19" s="21">
        <v>77.333333333333329</v>
      </c>
      <c r="U19" s="32">
        <v>84</v>
      </c>
      <c r="V19" s="32">
        <v>83</v>
      </c>
      <c r="W19" s="32">
        <v>80</v>
      </c>
      <c r="X19" s="32">
        <v>84</v>
      </c>
      <c r="Y19" s="33">
        <v>82</v>
      </c>
      <c r="Z19" s="32">
        <v>82</v>
      </c>
      <c r="AA19" s="32">
        <v>80</v>
      </c>
      <c r="AB19" s="32">
        <v>81</v>
      </c>
      <c r="AC19" s="32">
        <v>89</v>
      </c>
      <c r="AD19" s="32">
        <v>81</v>
      </c>
      <c r="AE19" s="32">
        <v>86</v>
      </c>
      <c r="AF19" s="32">
        <v>83</v>
      </c>
      <c r="AG19" s="32">
        <v>80</v>
      </c>
      <c r="AH19" s="32">
        <v>81</v>
      </c>
      <c r="AI19" s="32">
        <v>81</v>
      </c>
      <c r="AJ19" s="32">
        <v>84</v>
      </c>
      <c r="AK19" s="34">
        <f t="shared" si="5"/>
        <v>80.599999999999994</v>
      </c>
      <c r="AL19" s="34">
        <f t="shared" si="2"/>
        <v>81</v>
      </c>
      <c r="AM19" s="34">
        <f t="shared" si="2"/>
        <v>78.599999999999994</v>
      </c>
      <c r="AN19" s="34">
        <f t="shared" si="0"/>
        <v>83.875</v>
      </c>
      <c r="AO19" s="34">
        <f t="shared" si="0"/>
        <v>79.875</v>
      </c>
      <c r="AP19" s="34">
        <f t="shared" si="0"/>
        <v>78.25</v>
      </c>
      <c r="AQ19" s="34">
        <f t="shared" si="0"/>
        <v>79.5</v>
      </c>
      <c r="AR19" s="34">
        <f t="shared" si="0"/>
        <v>79.599999999999994</v>
      </c>
      <c r="AS19" s="34">
        <f t="shared" si="0"/>
        <v>83.1</v>
      </c>
      <c r="AT19" s="34">
        <f t="shared" si="0"/>
        <v>78.7</v>
      </c>
      <c r="AU19" s="34">
        <f t="shared" si="0"/>
        <v>80.75</v>
      </c>
      <c r="AV19" s="34">
        <f t="shared" si="0"/>
        <v>77.25</v>
      </c>
      <c r="AW19" s="34">
        <f t="shared" si="0"/>
        <v>77.75</v>
      </c>
      <c r="AX19" s="34">
        <f t="shared" si="0"/>
        <v>79.458333333333343</v>
      </c>
      <c r="AY19" s="34">
        <f t="shared" si="0"/>
        <v>77.166666666666657</v>
      </c>
      <c r="AZ19" s="34">
        <f t="shared" si="0"/>
        <v>80.666666666666657</v>
      </c>
      <c r="BA19" s="35">
        <v>75</v>
      </c>
      <c r="BB19" s="36">
        <f t="shared" si="3"/>
        <v>1351.1416666666669</v>
      </c>
      <c r="BC19" s="37">
        <f t="shared" si="4"/>
        <v>79.47892156862747</v>
      </c>
      <c r="BD19" s="36">
        <f t="shared" si="1"/>
        <v>31</v>
      </c>
    </row>
    <row r="20" spans="1:56" x14ac:dyDescent="0.25">
      <c r="A20" s="29">
        <v>15</v>
      </c>
      <c r="B20" s="30" t="s">
        <v>69</v>
      </c>
      <c r="C20" s="31" t="s">
        <v>70</v>
      </c>
      <c r="D20" s="29" t="s">
        <v>71</v>
      </c>
      <c r="E20" s="21">
        <v>80</v>
      </c>
      <c r="F20" s="21">
        <v>79.2</v>
      </c>
      <c r="G20" s="21">
        <v>77.8</v>
      </c>
      <c r="H20" s="21">
        <v>81.5</v>
      </c>
      <c r="I20" s="21">
        <v>77.25</v>
      </c>
      <c r="J20" s="21">
        <v>77</v>
      </c>
      <c r="K20" s="21">
        <v>79.5</v>
      </c>
      <c r="L20" s="21">
        <v>78.8</v>
      </c>
      <c r="M20" s="21">
        <v>78.400000000000006</v>
      </c>
      <c r="N20" s="21">
        <v>78.400000000000006</v>
      </c>
      <c r="O20" s="21">
        <v>78</v>
      </c>
      <c r="P20" s="21">
        <v>74</v>
      </c>
      <c r="Q20" s="21">
        <v>76.5</v>
      </c>
      <c r="R20" s="21">
        <v>78.75</v>
      </c>
      <c r="S20" s="21">
        <v>79</v>
      </c>
      <c r="T20" s="21">
        <v>77.666666666666671</v>
      </c>
      <c r="U20" s="32">
        <v>86</v>
      </c>
      <c r="V20" s="32">
        <v>83</v>
      </c>
      <c r="W20" s="32">
        <v>80</v>
      </c>
      <c r="X20" s="32">
        <v>84</v>
      </c>
      <c r="Y20" s="33">
        <v>85</v>
      </c>
      <c r="Z20" s="32">
        <v>82</v>
      </c>
      <c r="AA20" s="32">
        <v>80</v>
      </c>
      <c r="AB20" s="32">
        <v>84</v>
      </c>
      <c r="AC20" s="32">
        <v>89</v>
      </c>
      <c r="AD20" s="32">
        <v>84</v>
      </c>
      <c r="AE20" s="32">
        <v>86</v>
      </c>
      <c r="AF20" s="32">
        <v>84</v>
      </c>
      <c r="AG20" s="32">
        <v>80</v>
      </c>
      <c r="AH20" s="32">
        <v>81</v>
      </c>
      <c r="AI20" s="32">
        <v>82</v>
      </c>
      <c r="AJ20" s="32">
        <v>82</v>
      </c>
      <c r="AK20" s="34">
        <f t="shared" si="5"/>
        <v>83</v>
      </c>
      <c r="AL20" s="34">
        <f t="shared" si="2"/>
        <v>81.099999999999994</v>
      </c>
      <c r="AM20" s="34">
        <f t="shared" si="2"/>
        <v>78.900000000000006</v>
      </c>
      <c r="AN20" s="34">
        <f t="shared" si="0"/>
        <v>82.75</v>
      </c>
      <c r="AO20" s="34">
        <f t="shared" si="0"/>
        <v>81.125</v>
      </c>
      <c r="AP20" s="34">
        <f t="shared" si="0"/>
        <v>79.5</v>
      </c>
      <c r="AQ20" s="34">
        <f t="shared" si="0"/>
        <v>79.75</v>
      </c>
      <c r="AR20" s="34">
        <f t="shared" si="0"/>
        <v>81.400000000000006</v>
      </c>
      <c r="AS20" s="34">
        <f t="shared" si="0"/>
        <v>83.7</v>
      </c>
      <c r="AT20" s="34">
        <f t="shared" si="0"/>
        <v>81.2</v>
      </c>
      <c r="AU20" s="34">
        <f t="shared" si="0"/>
        <v>82</v>
      </c>
      <c r="AV20" s="34">
        <f t="shared" si="0"/>
        <v>79</v>
      </c>
      <c r="AW20" s="34">
        <f t="shared" si="0"/>
        <v>78.25</v>
      </c>
      <c r="AX20" s="34">
        <f t="shared" si="0"/>
        <v>79.875</v>
      </c>
      <c r="AY20" s="34">
        <f t="shared" si="0"/>
        <v>80.5</v>
      </c>
      <c r="AZ20" s="34">
        <f t="shared" si="0"/>
        <v>79.833333333333343</v>
      </c>
      <c r="BA20" s="35">
        <v>68.541666666666671</v>
      </c>
      <c r="BB20" s="36">
        <f t="shared" si="3"/>
        <v>1360.4250000000002</v>
      </c>
      <c r="BC20" s="37">
        <f t="shared" si="4"/>
        <v>80.025000000000006</v>
      </c>
      <c r="BD20" s="36">
        <f t="shared" si="1"/>
        <v>28</v>
      </c>
    </row>
    <row r="21" spans="1:56" x14ac:dyDescent="0.25">
      <c r="A21" s="29">
        <v>16</v>
      </c>
      <c r="B21" s="30" t="s">
        <v>72</v>
      </c>
      <c r="C21" s="31" t="s">
        <v>73</v>
      </c>
      <c r="D21" s="29" t="s">
        <v>74</v>
      </c>
      <c r="E21" s="21">
        <v>80</v>
      </c>
      <c r="F21" s="21">
        <v>79.400000000000006</v>
      </c>
      <c r="G21" s="21">
        <v>80.599999999999994</v>
      </c>
      <c r="H21" s="21">
        <v>83.25</v>
      </c>
      <c r="I21" s="21">
        <v>79.5</v>
      </c>
      <c r="J21" s="21">
        <v>85</v>
      </c>
      <c r="K21" s="21">
        <v>79.75</v>
      </c>
      <c r="L21" s="21">
        <v>80</v>
      </c>
      <c r="M21" s="21">
        <v>80.599999999999994</v>
      </c>
      <c r="N21" s="21">
        <v>78.400000000000006</v>
      </c>
      <c r="O21" s="21">
        <v>76.5</v>
      </c>
      <c r="P21" s="21">
        <v>75</v>
      </c>
      <c r="Q21" s="21">
        <v>76.5</v>
      </c>
      <c r="R21" s="21">
        <v>80.166666666666671</v>
      </c>
      <c r="S21" s="21">
        <v>81.333333333333329</v>
      </c>
      <c r="T21" s="21">
        <v>81</v>
      </c>
      <c r="U21" s="32">
        <v>86</v>
      </c>
      <c r="V21" s="32">
        <v>85</v>
      </c>
      <c r="W21" s="32">
        <v>85</v>
      </c>
      <c r="X21" s="32">
        <v>85</v>
      </c>
      <c r="Y21" s="33">
        <v>88</v>
      </c>
      <c r="Z21" s="32">
        <v>83</v>
      </c>
      <c r="AA21" s="32">
        <v>80</v>
      </c>
      <c r="AB21" s="32">
        <v>89</v>
      </c>
      <c r="AC21" s="32">
        <v>90</v>
      </c>
      <c r="AD21" s="32">
        <v>89</v>
      </c>
      <c r="AE21" s="32">
        <v>90</v>
      </c>
      <c r="AF21" s="32">
        <v>86</v>
      </c>
      <c r="AG21" s="32">
        <v>80</v>
      </c>
      <c r="AH21" s="32">
        <v>82</v>
      </c>
      <c r="AI21" s="32">
        <v>84</v>
      </c>
      <c r="AJ21" s="32">
        <v>84</v>
      </c>
      <c r="AK21" s="34">
        <f t="shared" si="5"/>
        <v>83</v>
      </c>
      <c r="AL21" s="34">
        <f t="shared" si="2"/>
        <v>82.2</v>
      </c>
      <c r="AM21" s="34">
        <f t="shared" si="2"/>
        <v>82.8</v>
      </c>
      <c r="AN21" s="34">
        <f t="shared" si="0"/>
        <v>84.125</v>
      </c>
      <c r="AO21" s="34">
        <f t="shared" si="0"/>
        <v>83.75</v>
      </c>
      <c r="AP21" s="34">
        <f t="shared" si="0"/>
        <v>84</v>
      </c>
      <c r="AQ21" s="34">
        <f t="shared" si="0"/>
        <v>79.875</v>
      </c>
      <c r="AR21" s="34">
        <f t="shared" si="0"/>
        <v>84.5</v>
      </c>
      <c r="AS21" s="34">
        <f t="shared" si="0"/>
        <v>85.3</v>
      </c>
      <c r="AT21" s="34">
        <f t="shared" si="0"/>
        <v>83.7</v>
      </c>
      <c r="AU21" s="34">
        <f t="shared" si="0"/>
        <v>83.25</v>
      </c>
      <c r="AV21" s="34">
        <f t="shared" si="0"/>
        <v>80.5</v>
      </c>
      <c r="AW21" s="34">
        <f t="shared" si="0"/>
        <v>78.25</v>
      </c>
      <c r="AX21" s="34">
        <f t="shared" si="0"/>
        <v>81.083333333333343</v>
      </c>
      <c r="AY21" s="34">
        <f t="shared" si="0"/>
        <v>82.666666666666657</v>
      </c>
      <c r="AZ21" s="34">
        <f t="shared" si="0"/>
        <v>82.5</v>
      </c>
      <c r="BA21" s="35">
        <v>87.395833333333343</v>
      </c>
      <c r="BB21" s="36">
        <f t="shared" si="3"/>
        <v>1408.8958333333333</v>
      </c>
      <c r="BC21" s="37">
        <f t="shared" si="4"/>
        <v>82.876225490196077</v>
      </c>
      <c r="BD21" s="36">
        <f t="shared" si="1"/>
        <v>15</v>
      </c>
    </row>
    <row r="22" spans="1:56" x14ac:dyDescent="0.25">
      <c r="A22" s="29">
        <v>17</v>
      </c>
      <c r="B22" s="30" t="s">
        <v>75</v>
      </c>
      <c r="C22" s="31" t="s">
        <v>76</v>
      </c>
      <c r="D22" s="29" t="s">
        <v>77</v>
      </c>
      <c r="E22" s="21">
        <v>80</v>
      </c>
      <c r="F22" s="21">
        <v>79.400000000000006</v>
      </c>
      <c r="G22" s="21">
        <v>77.8</v>
      </c>
      <c r="H22" s="21">
        <v>79</v>
      </c>
      <c r="I22" s="21">
        <v>77.25</v>
      </c>
      <c r="J22" s="21">
        <v>76.5</v>
      </c>
      <c r="K22" s="21">
        <v>80</v>
      </c>
      <c r="L22" s="21">
        <v>78.8</v>
      </c>
      <c r="M22" s="21">
        <v>77.8</v>
      </c>
      <c r="N22" s="21">
        <v>78.8</v>
      </c>
      <c r="O22" s="21">
        <v>79</v>
      </c>
      <c r="P22" s="21">
        <v>74</v>
      </c>
      <c r="Q22" s="21">
        <v>77.5</v>
      </c>
      <c r="R22" s="21">
        <v>79.166666666666671</v>
      </c>
      <c r="S22" s="21">
        <v>79</v>
      </c>
      <c r="T22" s="21">
        <v>79.333333333333329</v>
      </c>
      <c r="U22" s="32">
        <v>88</v>
      </c>
      <c r="V22" s="32">
        <v>83</v>
      </c>
      <c r="W22" s="32">
        <v>83</v>
      </c>
      <c r="X22" s="32">
        <v>85</v>
      </c>
      <c r="Y22" s="33">
        <v>84</v>
      </c>
      <c r="Z22" s="32">
        <v>82</v>
      </c>
      <c r="AA22" s="32">
        <v>80</v>
      </c>
      <c r="AB22" s="32">
        <v>81</v>
      </c>
      <c r="AC22" s="32">
        <v>90</v>
      </c>
      <c r="AD22" s="32">
        <v>81</v>
      </c>
      <c r="AE22" s="32">
        <v>87</v>
      </c>
      <c r="AF22" s="32">
        <v>84</v>
      </c>
      <c r="AG22" s="32">
        <v>86</v>
      </c>
      <c r="AH22" s="32">
        <v>83</v>
      </c>
      <c r="AI22" s="32">
        <v>84</v>
      </c>
      <c r="AJ22" s="32">
        <v>84</v>
      </c>
      <c r="AK22" s="34">
        <f t="shared" si="5"/>
        <v>84</v>
      </c>
      <c r="AL22" s="34">
        <f t="shared" si="2"/>
        <v>81.2</v>
      </c>
      <c r="AM22" s="34">
        <f t="shared" si="2"/>
        <v>80.400000000000006</v>
      </c>
      <c r="AN22" s="34">
        <f t="shared" si="0"/>
        <v>82</v>
      </c>
      <c r="AO22" s="34">
        <f t="shared" si="0"/>
        <v>80.625</v>
      </c>
      <c r="AP22" s="34">
        <f t="shared" si="0"/>
        <v>79.25</v>
      </c>
      <c r="AQ22" s="34">
        <f t="shared" si="0"/>
        <v>80</v>
      </c>
      <c r="AR22" s="34">
        <f t="shared" si="0"/>
        <v>79.900000000000006</v>
      </c>
      <c r="AS22" s="34">
        <f t="shared" si="0"/>
        <v>83.9</v>
      </c>
      <c r="AT22" s="34">
        <f t="shared" si="0"/>
        <v>79.900000000000006</v>
      </c>
      <c r="AU22" s="34">
        <f t="shared" si="0"/>
        <v>83</v>
      </c>
      <c r="AV22" s="34">
        <f t="shared" si="0"/>
        <v>79</v>
      </c>
      <c r="AW22" s="34">
        <f t="shared" si="0"/>
        <v>81.75</v>
      </c>
      <c r="AX22" s="34">
        <f t="shared" si="0"/>
        <v>81.083333333333343</v>
      </c>
      <c r="AY22" s="34">
        <f t="shared" si="0"/>
        <v>81.5</v>
      </c>
      <c r="AZ22" s="34">
        <f t="shared" si="0"/>
        <v>81.666666666666657</v>
      </c>
      <c r="BA22" s="35">
        <v>83.291666666666671</v>
      </c>
      <c r="BB22" s="36">
        <f t="shared" si="3"/>
        <v>1382.4666666666667</v>
      </c>
      <c r="BC22" s="37">
        <f t="shared" si="4"/>
        <v>81.321568627450986</v>
      </c>
      <c r="BD22" s="36">
        <f t="shared" si="1"/>
        <v>24</v>
      </c>
    </row>
    <row r="23" spans="1:56" x14ac:dyDescent="0.25">
      <c r="A23" s="29">
        <v>18</v>
      </c>
      <c r="B23" s="30" t="s">
        <v>78</v>
      </c>
      <c r="C23" s="31" t="s">
        <v>79</v>
      </c>
      <c r="D23" s="29" t="s">
        <v>80</v>
      </c>
      <c r="E23" s="21">
        <v>82.6</v>
      </c>
      <c r="F23" s="21">
        <v>79.599999999999994</v>
      </c>
      <c r="G23" s="21">
        <v>81.599999999999994</v>
      </c>
      <c r="H23" s="21">
        <v>80.25</v>
      </c>
      <c r="I23" s="21">
        <v>80</v>
      </c>
      <c r="J23" s="21">
        <v>84.5</v>
      </c>
      <c r="K23" s="21">
        <v>80.25</v>
      </c>
      <c r="L23" s="21">
        <v>80.599999999999994</v>
      </c>
      <c r="M23" s="21">
        <v>81</v>
      </c>
      <c r="N23" s="21">
        <v>81.400000000000006</v>
      </c>
      <c r="O23" s="21">
        <v>77.5</v>
      </c>
      <c r="P23" s="21">
        <v>78.5</v>
      </c>
      <c r="Q23" s="21">
        <v>76</v>
      </c>
      <c r="R23" s="21">
        <v>81.25</v>
      </c>
      <c r="S23" s="21">
        <v>81.333333333333329</v>
      </c>
      <c r="T23" s="21">
        <v>80</v>
      </c>
      <c r="U23" s="32">
        <v>90</v>
      </c>
      <c r="V23" s="32">
        <v>85</v>
      </c>
      <c r="W23" s="32">
        <v>85</v>
      </c>
      <c r="X23" s="32">
        <v>88</v>
      </c>
      <c r="Y23" s="33">
        <v>89</v>
      </c>
      <c r="Z23" s="32">
        <v>84</v>
      </c>
      <c r="AA23" s="32">
        <v>80</v>
      </c>
      <c r="AB23" s="32">
        <v>89</v>
      </c>
      <c r="AC23" s="32">
        <v>92</v>
      </c>
      <c r="AD23" s="32">
        <v>89</v>
      </c>
      <c r="AE23" s="32">
        <v>88</v>
      </c>
      <c r="AF23" s="32">
        <v>87</v>
      </c>
      <c r="AG23" s="32">
        <v>84</v>
      </c>
      <c r="AH23" s="32">
        <v>82</v>
      </c>
      <c r="AI23" s="32">
        <v>86</v>
      </c>
      <c r="AJ23" s="32">
        <v>87</v>
      </c>
      <c r="AK23" s="34">
        <f t="shared" si="5"/>
        <v>86.3</v>
      </c>
      <c r="AL23" s="34">
        <f t="shared" si="2"/>
        <v>82.3</v>
      </c>
      <c r="AM23" s="34">
        <f t="shared" si="2"/>
        <v>83.3</v>
      </c>
      <c r="AN23" s="34">
        <f t="shared" si="0"/>
        <v>84.125</v>
      </c>
      <c r="AO23" s="34">
        <f t="shared" si="0"/>
        <v>84.5</v>
      </c>
      <c r="AP23" s="34">
        <f t="shared" si="0"/>
        <v>84.25</v>
      </c>
      <c r="AQ23" s="34">
        <f t="shared" si="0"/>
        <v>80.125</v>
      </c>
      <c r="AR23" s="34">
        <f t="shared" si="0"/>
        <v>84.8</v>
      </c>
      <c r="AS23" s="34">
        <f t="shared" si="0"/>
        <v>86.5</v>
      </c>
      <c r="AT23" s="34">
        <f t="shared" si="0"/>
        <v>85.2</v>
      </c>
      <c r="AU23" s="34">
        <f t="shared" si="0"/>
        <v>82.75</v>
      </c>
      <c r="AV23" s="34">
        <f t="shared" si="0"/>
        <v>82.75</v>
      </c>
      <c r="AW23" s="34">
        <f t="shared" si="0"/>
        <v>80</v>
      </c>
      <c r="AX23" s="34">
        <f t="shared" si="0"/>
        <v>81.625</v>
      </c>
      <c r="AY23" s="34">
        <f t="shared" si="0"/>
        <v>83.666666666666657</v>
      </c>
      <c r="AZ23" s="34">
        <f t="shared" si="0"/>
        <v>83.5</v>
      </c>
      <c r="BA23" s="35">
        <v>89.875</v>
      </c>
      <c r="BB23" s="36">
        <f t="shared" si="3"/>
        <v>1425.5666666666668</v>
      </c>
      <c r="BC23" s="37">
        <f t="shared" si="4"/>
        <v>83.856862745098056</v>
      </c>
      <c r="BD23" s="36">
        <f t="shared" si="1"/>
        <v>9</v>
      </c>
    </row>
    <row r="24" spans="1:56" x14ac:dyDescent="0.25">
      <c r="A24" s="29">
        <v>19</v>
      </c>
      <c r="B24" s="30" t="s">
        <v>81</v>
      </c>
      <c r="C24" s="31" t="s">
        <v>82</v>
      </c>
      <c r="D24" s="29" t="s">
        <v>83</v>
      </c>
      <c r="E24" s="21">
        <v>80</v>
      </c>
      <c r="F24" s="21">
        <v>79</v>
      </c>
      <c r="G24" s="21">
        <v>77.2</v>
      </c>
      <c r="H24" s="21">
        <v>77</v>
      </c>
      <c r="I24" s="21">
        <v>78.75</v>
      </c>
      <c r="J24" s="21">
        <v>73</v>
      </c>
      <c r="K24" s="21">
        <v>79.75</v>
      </c>
      <c r="L24" s="21">
        <v>80</v>
      </c>
      <c r="M24" s="21">
        <v>76.599999999999994</v>
      </c>
      <c r="N24" s="21">
        <v>77.8</v>
      </c>
      <c r="O24" s="21">
        <v>76</v>
      </c>
      <c r="P24" s="21">
        <v>71.5</v>
      </c>
      <c r="Q24" s="21">
        <v>75</v>
      </c>
      <c r="R24" s="21">
        <v>78.583333333333329</v>
      </c>
      <c r="S24" s="21">
        <v>78.666666666666671</v>
      </c>
      <c r="T24" s="21">
        <v>79</v>
      </c>
      <c r="U24" s="32">
        <v>88</v>
      </c>
      <c r="V24" s="32">
        <v>83</v>
      </c>
      <c r="W24" s="32">
        <v>82</v>
      </c>
      <c r="X24" s="32">
        <v>84</v>
      </c>
      <c r="Y24" s="33">
        <v>82</v>
      </c>
      <c r="Z24" s="32">
        <v>82</v>
      </c>
      <c r="AA24" s="32">
        <v>80</v>
      </c>
      <c r="AB24" s="32">
        <v>81</v>
      </c>
      <c r="AC24" s="32">
        <v>89</v>
      </c>
      <c r="AD24" s="32">
        <v>81</v>
      </c>
      <c r="AE24" s="32">
        <v>86</v>
      </c>
      <c r="AF24" s="32">
        <v>86</v>
      </c>
      <c r="AG24" s="32">
        <v>80</v>
      </c>
      <c r="AH24" s="32">
        <v>81</v>
      </c>
      <c r="AI24" s="32">
        <v>81</v>
      </c>
      <c r="AJ24" s="32">
        <v>84</v>
      </c>
      <c r="AK24" s="34">
        <f t="shared" si="5"/>
        <v>84</v>
      </c>
      <c r="AL24" s="34">
        <f t="shared" si="2"/>
        <v>81</v>
      </c>
      <c r="AM24" s="34">
        <f t="shared" si="2"/>
        <v>79.599999999999994</v>
      </c>
      <c r="AN24" s="34">
        <f t="shared" si="0"/>
        <v>80.5</v>
      </c>
      <c r="AO24" s="34">
        <f t="shared" si="0"/>
        <v>80.375</v>
      </c>
      <c r="AP24" s="34">
        <f t="shared" si="0"/>
        <v>77.5</v>
      </c>
      <c r="AQ24" s="34">
        <f t="shared" si="0"/>
        <v>79.875</v>
      </c>
      <c r="AR24" s="34">
        <f t="shared" si="0"/>
        <v>80.5</v>
      </c>
      <c r="AS24" s="34">
        <f t="shared" si="0"/>
        <v>82.8</v>
      </c>
      <c r="AT24" s="34">
        <f t="shared" si="0"/>
        <v>79.400000000000006</v>
      </c>
      <c r="AU24" s="34">
        <f t="shared" si="0"/>
        <v>81</v>
      </c>
      <c r="AV24" s="34">
        <f t="shared" si="0"/>
        <v>78.75</v>
      </c>
      <c r="AW24" s="34">
        <f t="shared" si="0"/>
        <v>77.5</v>
      </c>
      <c r="AX24" s="34">
        <f t="shared" si="0"/>
        <v>79.791666666666657</v>
      </c>
      <c r="AY24" s="34">
        <f t="shared" si="0"/>
        <v>79.833333333333343</v>
      </c>
      <c r="AZ24" s="34">
        <f t="shared" si="0"/>
        <v>81.5</v>
      </c>
      <c r="BA24" s="35">
        <v>72.375</v>
      </c>
      <c r="BB24" s="36">
        <f t="shared" si="3"/>
        <v>1356.3</v>
      </c>
      <c r="BC24" s="37">
        <f t="shared" si="4"/>
        <v>79.78235294117647</v>
      </c>
      <c r="BD24" s="36">
        <f t="shared" si="1"/>
        <v>30</v>
      </c>
    </row>
    <row r="25" spans="1:56" x14ac:dyDescent="0.25">
      <c r="A25" s="29">
        <v>20</v>
      </c>
      <c r="B25" s="30" t="s">
        <v>84</v>
      </c>
      <c r="C25" s="31" t="s">
        <v>85</v>
      </c>
      <c r="D25" s="29" t="s">
        <v>86</v>
      </c>
      <c r="E25" s="21">
        <v>80.400000000000006</v>
      </c>
      <c r="F25" s="21">
        <v>79.599999999999994</v>
      </c>
      <c r="G25" s="21">
        <v>83</v>
      </c>
      <c r="H25" s="21">
        <v>83.75</v>
      </c>
      <c r="I25" s="21">
        <v>80</v>
      </c>
      <c r="J25" s="21">
        <v>83</v>
      </c>
      <c r="K25" s="21">
        <v>80.25</v>
      </c>
      <c r="L25" s="21">
        <v>80.2</v>
      </c>
      <c r="M25" s="21">
        <v>80.599999999999994</v>
      </c>
      <c r="N25" s="21">
        <v>79.8</v>
      </c>
      <c r="O25" s="21">
        <v>78.5</v>
      </c>
      <c r="P25" s="21">
        <v>81</v>
      </c>
      <c r="Q25" s="21">
        <v>75.5</v>
      </c>
      <c r="R25" s="21">
        <v>81.833333333333329</v>
      </c>
      <c r="S25" s="21">
        <v>82.666666666666671</v>
      </c>
      <c r="T25" s="21">
        <v>80.666666666666671</v>
      </c>
      <c r="U25" s="32">
        <v>86</v>
      </c>
      <c r="V25" s="32">
        <v>85</v>
      </c>
      <c r="W25" s="32">
        <v>85</v>
      </c>
      <c r="X25" s="32">
        <v>85</v>
      </c>
      <c r="Y25" s="33">
        <v>89</v>
      </c>
      <c r="Z25" s="32">
        <v>84</v>
      </c>
      <c r="AA25" s="32">
        <v>80</v>
      </c>
      <c r="AB25" s="32">
        <v>86</v>
      </c>
      <c r="AC25" s="32">
        <v>90</v>
      </c>
      <c r="AD25" s="32">
        <v>86</v>
      </c>
      <c r="AE25" s="32">
        <v>92</v>
      </c>
      <c r="AF25" s="32">
        <v>86</v>
      </c>
      <c r="AG25" s="32">
        <v>82</v>
      </c>
      <c r="AH25" s="32">
        <v>90</v>
      </c>
      <c r="AI25" s="32">
        <v>85</v>
      </c>
      <c r="AJ25" s="32">
        <v>84</v>
      </c>
      <c r="AK25" s="34">
        <f t="shared" si="5"/>
        <v>83.2</v>
      </c>
      <c r="AL25" s="34">
        <f t="shared" si="2"/>
        <v>82.3</v>
      </c>
      <c r="AM25" s="34">
        <f t="shared" si="2"/>
        <v>84</v>
      </c>
      <c r="AN25" s="34">
        <f t="shared" si="0"/>
        <v>84.375</v>
      </c>
      <c r="AO25" s="34">
        <f t="shared" si="0"/>
        <v>84.5</v>
      </c>
      <c r="AP25" s="34">
        <f t="shared" si="0"/>
        <v>83.5</v>
      </c>
      <c r="AQ25" s="34">
        <f t="shared" si="0"/>
        <v>80.125</v>
      </c>
      <c r="AR25" s="34">
        <f t="shared" si="0"/>
        <v>83.1</v>
      </c>
      <c r="AS25" s="34">
        <f t="shared" si="0"/>
        <v>85.3</v>
      </c>
      <c r="AT25" s="34">
        <f t="shared" si="0"/>
        <v>82.9</v>
      </c>
      <c r="AU25" s="34">
        <f t="shared" si="0"/>
        <v>85.25</v>
      </c>
      <c r="AV25" s="34">
        <f t="shared" ref="AQ25:AZ37" si="6">AVERAGE(P25,AF25)</f>
        <v>83.5</v>
      </c>
      <c r="AW25" s="34">
        <f t="shared" si="6"/>
        <v>78.75</v>
      </c>
      <c r="AX25" s="34">
        <f t="shared" si="6"/>
        <v>85.916666666666657</v>
      </c>
      <c r="AY25" s="34">
        <f t="shared" si="6"/>
        <v>83.833333333333343</v>
      </c>
      <c r="AZ25" s="34">
        <f t="shared" si="6"/>
        <v>82.333333333333343</v>
      </c>
      <c r="BA25" s="35">
        <v>89.375</v>
      </c>
      <c r="BB25" s="36">
        <f t="shared" si="3"/>
        <v>1422.2583333333332</v>
      </c>
      <c r="BC25" s="37">
        <f t="shared" si="4"/>
        <v>83.662254901960779</v>
      </c>
      <c r="BD25" s="36">
        <f t="shared" si="1"/>
        <v>11</v>
      </c>
    </row>
    <row r="26" spans="1:56" x14ac:dyDescent="0.25">
      <c r="A26" s="29">
        <v>21</v>
      </c>
      <c r="B26" s="30" t="s">
        <v>87</v>
      </c>
      <c r="C26" s="31" t="s">
        <v>88</v>
      </c>
      <c r="D26" s="29" t="s">
        <v>89</v>
      </c>
      <c r="E26" s="21">
        <v>78.8</v>
      </c>
      <c r="F26" s="21">
        <v>79.400000000000006</v>
      </c>
      <c r="G26" s="21">
        <v>80.599999999999994</v>
      </c>
      <c r="H26" s="21">
        <v>80.25</v>
      </c>
      <c r="I26" s="21">
        <v>77.75</v>
      </c>
      <c r="J26" s="21">
        <v>81</v>
      </c>
      <c r="K26" s="21">
        <v>79.5</v>
      </c>
      <c r="L26" s="21">
        <v>78.8</v>
      </c>
      <c r="M26" s="21">
        <v>78.599999999999994</v>
      </c>
      <c r="N26" s="21">
        <v>77.8</v>
      </c>
      <c r="O26" s="21">
        <v>75.5</v>
      </c>
      <c r="P26" s="21">
        <v>70</v>
      </c>
      <c r="Q26" s="21">
        <v>74.5</v>
      </c>
      <c r="R26" s="21">
        <v>79.75</v>
      </c>
      <c r="S26" s="21">
        <v>79.666666666666671</v>
      </c>
      <c r="T26" s="21">
        <v>79</v>
      </c>
      <c r="U26" s="32">
        <v>88</v>
      </c>
      <c r="V26" s="32">
        <v>84</v>
      </c>
      <c r="W26" s="32">
        <v>83</v>
      </c>
      <c r="X26" s="32">
        <v>84</v>
      </c>
      <c r="Y26" s="33">
        <v>85</v>
      </c>
      <c r="Z26" s="32">
        <v>83</v>
      </c>
      <c r="AA26" s="32">
        <v>80</v>
      </c>
      <c r="AB26" s="32">
        <v>81</v>
      </c>
      <c r="AC26" s="32">
        <v>91</v>
      </c>
      <c r="AD26" s="32">
        <v>81</v>
      </c>
      <c r="AE26" s="32">
        <v>86</v>
      </c>
      <c r="AF26" s="32">
        <v>84</v>
      </c>
      <c r="AG26" s="32">
        <v>82</v>
      </c>
      <c r="AH26" s="32">
        <v>85</v>
      </c>
      <c r="AI26" s="32">
        <v>84</v>
      </c>
      <c r="AJ26" s="32">
        <v>85</v>
      </c>
      <c r="AK26" s="34">
        <f t="shared" si="5"/>
        <v>83.4</v>
      </c>
      <c r="AL26" s="34">
        <f t="shared" si="2"/>
        <v>81.7</v>
      </c>
      <c r="AM26" s="34">
        <f t="shared" si="2"/>
        <v>81.8</v>
      </c>
      <c r="AN26" s="34">
        <f t="shared" si="2"/>
        <v>82.125</v>
      </c>
      <c r="AO26" s="34">
        <f t="shared" si="2"/>
        <v>81.375</v>
      </c>
      <c r="AP26" s="34">
        <f t="shared" si="2"/>
        <v>82</v>
      </c>
      <c r="AQ26" s="34">
        <f t="shared" si="6"/>
        <v>79.75</v>
      </c>
      <c r="AR26" s="34">
        <f t="shared" si="6"/>
        <v>79.900000000000006</v>
      </c>
      <c r="AS26" s="34">
        <f t="shared" si="6"/>
        <v>84.8</v>
      </c>
      <c r="AT26" s="34">
        <f t="shared" si="6"/>
        <v>79.400000000000006</v>
      </c>
      <c r="AU26" s="34">
        <f t="shared" si="6"/>
        <v>80.75</v>
      </c>
      <c r="AV26" s="34">
        <f t="shared" si="6"/>
        <v>77</v>
      </c>
      <c r="AW26" s="34">
        <f t="shared" si="6"/>
        <v>78.25</v>
      </c>
      <c r="AX26" s="34">
        <f t="shared" si="6"/>
        <v>82.375</v>
      </c>
      <c r="AY26" s="34">
        <f t="shared" si="6"/>
        <v>81.833333333333343</v>
      </c>
      <c r="AZ26" s="34">
        <f t="shared" si="6"/>
        <v>82</v>
      </c>
      <c r="BA26" s="35">
        <v>75.083333333333329</v>
      </c>
      <c r="BB26" s="36">
        <f t="shared" si="3"/>
        <v>1373.5416666666665</v>
      </c>
      <c r="BC26" s="37">
        <f t="shared" si="4"/>
        <v>80.796568627450966</v>
      </c>
      <c r="BD26" s="36">
        <f t="shared" si="1"/>
        <v>26</v>
      </c>
    </row>
    <row r="27" spans="1:56" x14ac:dyDescent="0.25">
      <c r="A27" s="29">
        <v>22</v>
      </c>
      <c r="B27" s="30" t="s">
        <v>90</v>
      </c>
      <c r="C27" s="31" t="s">
        <v>91</v>
      </c>
      <c r="D27" s="29" t="s">
        <v>92</v>
      </c>
      <c r="E27" s="21">
        <v>81.400000000000006</v>
      </c>
      <c r="F27" s="21">
        <v>80.400000000000006</v>
      </c>
      <c r="G27" s="21">
        <v>82.2</v>
      </c>
      <c r="H27" s="21">
        <v>80</v>
      </c>
      <c r="I27" s="21">
        <v>80.25</v>
      </c>
      <c r="J27" s="21">
        <v>83.5</v>
      </c>
      <c r="K27" s="21">
        <v>80</v>
      </c>
      <c r="L27" s="21">
        <v>80.2</v>
      </c>
      <c r="M27" s="21">
        <v>84</v>
      </c>
      <c r="N27" s="21">
        <v>79.8</v>
      </c>
      <c r="O27" s="21">
        <v>78.5</v>
      </c>
      <c r="P27" s="21">
        <v>79.5</v>
      </c>
      <c r="Q27" s="21">
        <v>77</v>
      </c>
      <c r="R27" s="21">
        <v>81.333333333333329</v>
      </c>
      <c r="S27" s="21">
        <v>81.666666666666671</v>
      </c>
      <c r="T27" s="21">
        <v>79.333333333333329</v>
      </c>
      <c r="U27" s="32">
        <v>88</v>
      </c>
      <c r="V27" s="32">
        <v>84</v>
      </c>
      <c r="W27" s="32">
        <v>85</v>
      </c>
      <c r="X27" s="32">
        <v>85</v>
      </c>
      <c r="Y27" s="33">
        <v>91</v>
      </c>
      <c r="Z27" s="32">
        <v>83</v>
      </c>
      <c r="AA27" s="32">
        <v>80</v>
      </c>
      <c r="AB27" s="32">
        <v>89</v>
      </c>
      <c r="AC27" s="32">
        <v>92</v>
      </c>
      <c r="AD27" s="32">
        <v>89</v>
      </c>
      <c r="AE27" s="32">
        <v>89</v>
      </c>
      <c r="AF27" s="32">
        <v>86</v>
      </c>
      <c r="AG27" s="32">
        <v>82</v>
      </c>
      <c r="AH27" s="32">
        <v>82</v>
      </c>
      <c r="AI27" s="32">
        <v>83</v>
      </c>
      <c r="AJ27" s="32">
        <v>84</v>
      </c>
      <c r="AK27" s="34">
        <f t="shared" si="5"/>
        <v>84.7</v>
      </c>
      <c r="AL27" s="34">
        <f t="shared" si="2"/>
        <v>82.2</v>
      </c>
      <c r="AM27" s="34">
        <f t="shared" si="2"/>
        <v>83.6</v>
      </c>
      <c r="AN27" s="34">
        <f t="shared" si="2"/>
        <v>82.5</v>
      </c>
      <c r="AO27" s="34">
        <f t="shared" si="2"/>
        <v>85.625</v>
      </c>
      <c r="AP27" s="34">
        <f t="shared" si="2"/>
        <v>83.25</v>
      </c>
      <c r="AQ27" s="34">
        <f t="shared" si="6"/>
        <v>80</v>
      </c>
      <c r="AR27" s="34">
        <f t="shared" si="6"/>
        <v>84.6</v>
      </c>
      <c r="AS27" s="34">
        <f t="shared" si="6"/>
        <v>88</v>
      </c>
      <c r="AT27" s="34">
        <f t="shared" si="6"/>
        <v>84.4</v>
      </c>
      <c r="AU27" s="34">
        <f t="shared" si="6"/>
        <v>83.75</v>
      </c>
      <c r="AV27" s="34">
        <f t="shared" si="6"/>
        <v>82.75</v>
      </c>
      <c r="AW27" s="34">
        <f t="shared" si="6"/>
        <v>79.5</v>
      </c>
      <c r="AX27" s="34">
        <f t="shared" si="6"/>
        <v>81.666666666666657</v>
      </c>
      <c r="AY27" s="34">
        <f t="shared" si="6"/>
        <v>82.333333333333343</v>
      </c>
      <c r="AZ27" s="34">
        <f t="shared" si="6"/>
        <v>81.666666666666657</v>
      </c>
      <c r="BA27" s="35">
        <v>76.625</v>
      </c>
      <c r="BB27" s="36">
        <f t="shared" si="3"/>
        <v>1407.1666666666667</v>
      </c>
      <c r="BC27" s="37">
        <f t="shared" si="4"/>
        <v>82.774509803921575</v>
      </c>
      <c r="BD27" s="36">
        <f t="shared" si="1"/>
        <v>16</v>
      </c>
    </row>
    <row r="28" spans="1:56" x14ac:dyDescent="0.25">
      <c r="A28" s="29">
        <v>23</v>
      </c>
      <c r="B28" s="30" t="s">
        <v>93</v>
      </c>
      <c r="C28" s="31" t="s">
        <v>94</v>
      </c>
      <c r="D28" s="29" t="s">
        <v>95</v>
      </c>
      <c r="E28" s="21">
        <v>81.400000000000006</v>
      </c>
      <c r="F28" s="21">
        <v>80.400000000000006</v>
      </c>
      <c r="G28" s="21">
        <v>81.599999999999994</v>
      </c>
      <c r="H28" s="21">
        <v>83.25</v>
      </c>
      <c r="I28" s="21">
        <v>80</v>
      </c>
      <c r="J28" s="21">
        <v>83</v>
      </c>
      <c r="K28" s="21">
        <v>79.5</v>
      </c>
      <c r="L28" s="21">
        <v>80.2</v>
      </c>
      <c r="M28" s="21">
        <v>79.400000000000006</v>
      </c>
      <c r="N28" s="21">
        <v>79.599999999999994</v>
      </c>
      <c r="O28" s="21">
        <v>77.5</v>
      </c>
      <c r="P28" s="21">
        <v>75.5</v>
      </c>
      <c r="Q28" s="21">
        <v>77</v>
      </c>
      <c r="R28" s="21">
        <v>79.916666666666671</v>
      </c>
      <c r="S28" s="21">
        <v>81.333333333333329</v>
      </c>
      <c r="T28" s="21">
        <v>80</v>
      </c>
      <c r="U28" s="32">
        <v>90</v>
      </c>
      <c r="V28" s="32">
        <v>84</v>
      </c>
      <c r="W28" s="32">
        <v>85</v>
      </c>
      <c r="X28" s="32">
        <v>85</v>
      </c>
      <c r="Y28" s="33">
        <v>87</v>
      </c>
      <c r="Z28" s="32">
        <v>84</v>
      </c>
      <c r="AA28" s="32">
        <v>80</v>
      </c>
      <c r="AB28" s="32">
        <v>87</v>
      </c>
      <c r="AC28" s="32">
        <v>90</v>
      </c>
      <c r="AD28" s="32">
        <v>87</v>
      </c>
      <c r="AE28" s="32">
        <v>91</v>
      </c>
      <c r="AF28" s="32">
        <v>86</v>
      </c>
      <c r="AG28" s="32">
        <v>86</v>
      </c>
      <c r="AH28" s="32">
        <v>83</v>
      </c>
      <c r="AI28" s="32">
        <v>85</v>
      </c>
      <c r="AJ28" s="32">
        <v>86</v>
      </c>
      <c r="AK28" s="34">
        <f t="shared" si="5"/>
        <v>85.7</v>
      </c>
      <c r="AL28" s="34">
        <f t="shared" si="2"/>
        <v>82.2</v>
      </c>
      <c r="AM28" s="34">
        <f t="shared" si="2"/>
        <v>83.3</v>
      </c>
      <c r="AN28" s="34">
        <f t="shared" si="2"/>
        <v>84.125</v>
      </c>
      <c r="AO28" s="34">
        <f t="shared" si="2"/>
        <v>83.5</v>
      </c>
      <c r="AP28" s="34">
        <f t="shared" si="2"/>
        <v>83.5</v>
      </c>
      <c r="AQ28" s="34">
        <f t="shared" si="6"/>
        <v>79.75</v>
      </c>
      <c r="AR28" s="34">
        <f t="shared" si="6"/>
        <v>83.6</v>
      </c>
      <c r="AS28" s="34">
        <f t="shared" si="6"/>
        <v>84.7</v>
      </c>
      <c r="AT28" s="34">
        <f t="shared" si="6"/>
        <v>83.3</v>
      </c>
      <c r="AU28" s="34">
        <f t="shared" si="6"/>
        <v>84.25</v>
      </c>
      <c r="AV28" s="34">
        <f t="shared" si="6"/>
        <v>80.75</v>
      </c>
      <c r="AW28" s="34">
        <f t="shared" si="6"/>
        <v>81.5</v>
      </c>
      <c r="AX28" s="34">
        <f t="shared" si="6"/>
        <v>81.458333333333343</v>
      </c>
      <c r="AY28" s="34">
        <f t="shared" si="6"/>
        <v>83.166666666666657</v>
      </c>
      <c r="AZ28" s="34">
        <f t="shared" si="6"/>
        <v>83</v>
      </c>
      <c r="BA28" s="35">
        <v>82.541666666666671</v>
      </c>
      <c r="BB28" s="36">
        <f t="shared" si="3"/>
        <v>1410.3416666666669</v>
      </c>
      <c r="BC28" s="37">
        <f t="shared" si="4"/>
        <v>82.961274509803943</v>
      </c>
      <c r="BD28" s="36">
        <f t="shared" si="1"/>
        <v>14</v>
      </c>
    </row>
    <row r="29" spans="1:56" x14ac:dyDescent="0.25">
      <c r="A29" s="29">
        <v>24</v>
      </c>
      <c r="B29" s="30" t="s">
        <v>96</v>
      </c>
      <c r="C29" s="31" t="s">
        <v>97</v>
      </c>
      <c r="D29" s="29" t="s">
        <v>98</v>
      </c>
      <c r="E29" s="21">
        <v>78</v>
      </c>
      <c r="F29" s="21">
        <v>79.2</v>
      </c>
      <c r="G29" s="21">
        <v>80</v>
      </c>
      <c r="H29" s="21">
        <v>82.75</v>
      </c>
      <c r="I29" s="21">
        <v>78.75</v>
      </c>
      <c r="J29" s="21">
        <v>85.5</v>
      </c>
      <c r="K29" s="21">
        <v>79</v>
      </c>
      <c r="L29" s="21">
        <v>79.599999999999994</v>
      </c>
      <c r="M29" s="21">
        <v>78.8</v>
      </c>
      <c r="N29" s="21">
        <v>79</v>
      </c>
      <c r="O29" s="21">
        <v>75</v>
      </c>
      <c r="P29" s="21">
        <v>74</v>
      </c>
      <c r="Q29" s="21">
        <v>76</v>
      </c>
      <c r="R29" s="21">
        <v>78.833333333333329</v>
      </c>
      <c r="S29" s="21">
        <v>79.666666666666671</v>
      </c>
      <c r="T29" s="21">
        <v>78.666666666666671</v>
      </c>
      <c r="U29" s="32">
        <v>86</v>
      </c>
      <c r="V29" s="32">
        <v>84</v>
      </c>
      <c r="W29" s="32">
        <v>83</v>
      </c>
      <c r="X29" s="32">
        <v>85</v>
      </c>
      <c r="Y29" s="33">
        <v>85</v>
      </c>
      <c r="Z29" s="32">
        <v>83</v>
      </c>
      <c r="AA29" s="32">
        <v>80</v>
      </c>
      <c r="AB29" s="32">
        <v>82</v>
      </c>
      <c r="AC29" s="32">
        <v>89</v>
      </c>
      <c r="AD29" s="32">
        <v>82</v>
      </c>
      <c r="AE29" s="32">
        <v>86</v>
      </c>
      <c r="AF29" s="32">
        <v>85</v>
      </c>
      <c r="AG29" s="32">
        <v>80</v>
      </c>
      <c r="AH29" s="32">
        <v>82</v>
      </c>
      <c r="AI29" s="32">
        <v>84</v>
      </c>
      <c r="AJ29" s="32">
        <v>84</v>
      </c>
      <c r="AK29" s="34">
        <f t="shared" si="5"/>
        <v>82</v>
      </c>
      <c r="AL29" s="34">
        <f t="shared" si="2"/>
        <v>81.599999999999994</v>
      </c>
      <c r="AM29" s="34">
        <f t="shared" si="2"/>
        <v>81.5</v>
      </c>
      <c r="AN29" s="34">
        <f t="shared" si="2"/>
        <v>83.875</v>
      </c>
      <c r="AO29" s="34">
        <f t="shared" si="2"/>
        <v>81.875</v>
      </c>
      <c r="AP29" s="34">
        <f t="shared" si="2"/>
        <v>84.25</v>
      </c>
      <c r="AQ29" s="34">
        <f t="shared" si="6"/>
        <v>79.5</v>
      </c>
      <c r="AR29" s="34">
        <f t="shared" si="6"/>
        <v>80.8</v>
      </c>
      <c r="AS29" s="34">
        <f t="shared" si="6"/>
        <v>83.9</v>
      </c>
      <c r="AT29" s="34">
        <f t="shared" si="6"/>
        <v>80.5</v>
      </c>
      <c r="AU29" s="34">
        <f t="shared" si="6"/>
        <v>80.5</v>
      </c>
      <c r="AV29" s="34">
        <f t="shared" si="6"/>
        <v>79.5</v>
      </c>
      <c r="AW29" s="34">
        <f t="shared" si="6"/>
        <v>78</v>
      </c>
      <c r="AX29" s="34">
        <f t="shared" si="6"/>
        <v>80.416666666666657</v>
      </c>
      <c r="AY29" s="34">
        <f t="shared" si="6"/>
        <v>81.833333333333343</v>
      </c>
      <c r="AZ29" s="34">
        <f t="shared" si="6"/>
        <v>81.333333333333343</v>
      </c>
      <c r="BA29" s="35">
        <v>70.520833333333343</v>
      </c>
      <c r="BB29" s="36">
        <f t="shared" si="3"/>
        <v>1371.9041666666665</v>
      </c>
      <c r="BC29" s="37">
        <f t="shared" si="4"/>
        <v>80.700245098039204</v>
      </c>
      <c r="BD29" s="36">
        <f t="shared" si="1"/>
        <v>27</v>
      </c>
    </row>
    <row r="30" spans="1:56" x14ac:dyDescent="0.25">
      <c r="A30" s="29">
        <v>25</v>
      </c>
      <c r="B30" s="30" t="s">
        <v>99</v>
      </c>
      <c r="C30" s="31" t="s">
        <v>100</v>
      </c>
      <c r="D30" s="29" t="s">
        <v>101</v>
      </c>
      <c r="E30" s="21">
        <v>83.8</v>
      </c>
      <c r="F30" s="21">
        <v>81</v>
      </c>
      <c r="G30" s="21">
        <v>85.4</v>
      </c>
      <c r="H30" s="21">
        <v>80</v>
      </c>
      <c r="I30" s="21">
        <v>82</v>
      </c>
      <c r="J30" s="21">
        <v>87</v>
      </c>
      <c r="K30" s="21">
        <v>80.25</v>
      </c>
      <c r="L30" s="21">
        <v>81</v>
      </c>
      <c r="M30" s="21">
        <v>84.4</v>
      </c>
      <c r="N30" s="21">
        <v>81</v>
      </c>
      <c r="O30" s="21">
        <v>78.5</v>
      </c>
      <c r="P30" s="21">
        <v>79.5</v>
      </c>
      <c r="Q30" s="21">
        <v>79</v>
      </c>
      <c r="R30" s="21">
        <v>82.833333333333329</v>
      </c>
      <c r="S30" s="21">
        <v>83.333333333333329</v>
      </c>
      <c r="T30" s="21">
        <v>81.333333333333329</v>
      </c>
      <c r="U30" s="32">
        <v>90</v>
      </c>
      <c r="V30" s="32">
        <v>87</v>
      </c>
      <c r="W30" s="32">
        <v>90</v>
      </c>
      <c r="X30" s="32">
        <v>85</v>
      </c>
      <c r="Y30" s="33">
        <v>93</v>
      </c>
      <c r="Z30" s="32">
        <v>86</v>
      </c>
      <c r="AA30" s="32">
        <v>90</v>
      </c>
      <c r="AB30" s="32">
        <v>90</v>
      </c>
      <c r="AC30" s="32">
        <v>93</v>
      </c>
      <c r="AD30" s="32">
        <v>90</v>
      </c>
      <c r="AE30" s="32">
        <v>91</v>
      </c>
      <c r="AF30" s="32">
        <v>87</v>
      </c>
      <c r="AG30" s="32">
        <v>90</v>
      </c>
      <c r="AH30" s="32">
        <v>90</v>
      </c>
      <c r="AI30" s="32">
        <v>86</v>
      </c>
      <c r="AJ30" s="32">
        <v>86</v>
      </c>
      <c r="AK30" s="34">
        <f t="shared" si="5"/>
        <v>86.9</v>
      </c>
      <c r="AL30" s="34">
        <f t="shared" si="2"/>
        <v>84</v>
      </c>
      <c r="AM30" s="34">
        <f t="shared" si="2"/>
        <v>87.7</v>
      </c>
      <c r="AN30" s="34">
        <f t="shared" si="2"/>
        <v>82.5</v>
      </c>
      <c r="AO30" s="34">
        <f t="shared" si="2"/>
        <v>87.5</v>
      </c>
      <c r="AP30" s="34">
        <f t="shared" si="2"/>
        <v>86.5</v>
      </c>
      <c r="AQ30" s="34">
        <f t="shared" si="6"/>
        <v>85.125</v>
      </c>
      <c r="AR30" s="34">
        <f t="shared" si="6"/>
        <v>85.5</v>
      </c>
      <c r="AS30" s="34">
        <f t="shared" si="6"/>
        <v>88.7</v>
      </c>
      <c r="AT30" s="34">
        <f t="shared" si="6"/>
        <v>85.5</v>
      </c>
      <c r="AU30" s="34">
        <f t="shared" si="6"/>
        <v>84.75</v>
      </c>
      <c r="AV30" s="34">
        <f t="shared" si="6"/>
        <v>83.25</v>
      </c>
      <c r="AW30" s="34">
        <f t="shared" si="6"/>
        <v>84.5</v>
      </c>
      <c r="AX30" s="34">
        <f t="shared" si="6"/>
        <v>86.416666666666657</v>
      </c>
      <c r="AY30" s="34">
        <f t="shared" si="6"/>
        <v>84.666666666666657</v>
      </c>
      <c r="AZ30" s="34">
        <f t="shared" si="6"/>
        <v>83.666666666666657</v>
      </c>
      <c r="BA30" s="35">
        <v>92.625</v>
      </c>
      <c r="BB30" s="36">
        <f t="shared" si="3"/>
        <v>1459.8000000000004</v>
      </c>
      <c r="BC30" s="37">
        <f t="shared" si="4"/>
        <v>85.870588235294136</v>
      </c>
      <c r="BD30" s="36">
        <f t="shared" si="1"/>
        <v>2</v>
      </c>
    </row>
    <row r="31" spans="1:56" x14ac:dyDescent="0.25">
      <c r="A31" s="29">
        <v>26</v>
      </c>
      <c r="B31" s="30" t="s">
        <v>102</v>
      </c>
      <c r="C31" s="31" t="s">
        <v>103</v>
      </c>
      <c r="D31" s="29" t="s">
        <v>104</v>
      </c>
      <c r="E31" s="21">
        <v>79.8</v>
      </c>
      <c r="F31" s="21">
        <v>79.2</v>
      </c>
      <c r="G31" s="21">
        <v>80.599999999999994</v>
      </c>
      <c r="H31" s="21">
        <v>82.75</v>
      </c>
      <c r="I31" s="21">
        <v>77.75</v>
      </c>
      <c r="J31" s="21">
        <v>83.5</v>
      </c>
      <c r="K31" s="21">
        <v>79.25</v>
      </c>
      <c r="L31" s="21">
        <v>78.8</v>
      </c>
      <c r="M31" s="21">
        <v>78</v>
      </c>
      <c r="N31" s="21">
        <v>78.400000000000006</v>
      </c>
      <c r="O31" s="21">
        <v>76</v>
      </c>
      <c r="P31" s="21">
        <v>72.5</v>
      </c>
      <c r="Q31" s="21">
        <v>76.5</v>
      </c>
      <c r="R31" s="21">
        <v>79.083333333333329</v>
      </c>
      <c r="S31" s="21">
        <v>81.666666666666671</v>
      </c>
      <c r="T31" s="21">
        <v>80.333333333333329</v>
      </c>
      <c r="U31" s="32">
        <v>86</v>
      </c>
      <c r="V31" s="32">
        <v>84</v>
      </c>
      <c r="W31" s="32">
        <v>84</v>
      </c>
      <c r="X31" s="32">
        <v>85</v>
      </c>
      <c r="Y31" s="33">
        <v>85</v>
      </c>
      <c r="Z31" s="32">
        <v>83</v>
      </c>
      <c r="AA31" s="32">
        <v>80</v>
      </c>
      <c r="AB31" s="32">
        <v>86</v>
      </c>
      <c r="AC31" s="32">
        <v>92</v>
      </c>
      <c r="AD31" s="32">
        <v>86</v>
      </c>
      <c r="AE31" s="32">
        <v>86</v>
      </c>
      <c r="AF31" s="32">
        <v>84</v>
      </c>
      <c r="AG31" s="32">
        <v>82</v>
      </c>
      <c r="AH31" s="32">
        <v>83</v>
      </c>
      <c r="AI31" s="32">
        <v>84</v>
      </c>
      <c r="AJ31" s="32">
        <v>85</v>
      </c>
      <c r="AK31" s="34">
        <f t="shared" si="5"/>
        <v>82.9</v>
      </c>
      <c r="AL31" s="34">
        <f t="shared" si="2"/>
        <v>81.599999999999994</v>
      </c>
      <c r="AM31" s="34">
        <f t="shared" si="2"/>
        <v>82.3</v>
      </c>
      <c r="AN31" s="34">
        <f t="shared" si="2"/>
        <v>83.875</v>
      </c>
      <c r="AO31" s="34">
        <f t="shared" si="2"/>
        <v>81.375</v>
      </c>
      <c r="AP31" s="34">
        <f t="shared" si="2"/>
        <v>83.25</v>
      </c>
      <c r="AQ31" s="34">
        <f t="shared" si="6"/>
        <v>79.625</v>
      </c>
      <c r="AR31" s="34">
        <f t="shared" si="6"/>
        <v>82.4</v>
      </c>
      <c r="AS31" s="34">
        <f t="shared" si="6"/>
        <v>85</v>
      </c>
      <c r="AT31" s="34">
        <f t="shared" si="6"/>
        <v>82.2</v>
      </c>
      <c r="AU31" s="34">
        <f t="shared" si="6"/>
        <v>81</v>
      </c>
      <c r="AV31" s="34">
        <f t="shared" si="6"/>
        <v>78.25</v>
      </c>
      <c r="AW31" s="34">
        <f t="shared" si="6"/>
        <v>79.25</v>
      </c>
      <c r="AX31" s="34">
        <f t="shared" si="6"/>
        <v>81.041666666666657</v>
      </c>
      <c r="AY31" s="34">
        <f t="shared" si="6"/>
        <v>82.833333333333343</v>
      </c>
      <c r="AZ31" s="34">
        <f t="shared" si="6"/>
        <v>82.666666666666657</v>
      </c>
      <c r="BA31" s="35">
        <v>82.5</v>
      </c>
      <c r="BB31" s="36">
        <f t="shared" si="3"/>
        <v>1392.0666666666668</v>
      </c>
      <c r="BC31" s="37">
        <f t="shared" si="4"/>
        <v>81.886274509803926</v>
      </c>
      <c r="BD31" s="36">
        <f t="shared" si="1"/>
        <v>22</v>
      </c>
    </row>
    <row r="32" spans="1:56" x14ac:dyDescent="0.25">
      <c r="A32" s="29">
        <v>27</v>
      </c>
      <c r="B32" s="30" t="s">
        <v>105</v>
      </c>
      <c r="C32" s="31" t="s">
        <v>106</v>
      </c>
      <c r="D32" s="29" t="s">
        <v>107</v>
      </c>
      <c r="E32" s="21">
        <v>84</v>
      </c>
      <c r="F32" s="21">
        <v>80.400000000000006</v>
      </c>
      <c r="G32" s="21">
        <v>85</v>
      </c>
      <c r="H32" s="21">
        <v>84.25</v>
      </c>
      <c r="I32" s="21">
        <v>82</v>
      </c>
      <c r="J32" s="21">
        <v>80.5</v>
      </c>
      <c r="K32" s="21">
        <v>80.5</v>
      </c>
      <c r="L32" s="21">
        <v>79.599999999999994</v>
      </c>
      <c r="M32" s="21">
        <v>83.8</v>
      </c>
      <c r="N32" s="21">
        <v>81.2</v>
      </c>
      <c r="O32" s="21">
        <v>80.5</v>
      </c>
      <c r="P32" s="21">
        <v>81.5</v>
      </c>
      <c r="Q32" s="21">
        <v>77.5</v>
      </c>
      <c r="R32" s="21">
        <v>82.083333333333329</v>
      </c>
      <c r="S32" s="21">
        <v>84.666666666666671</v>
      </c>
      <c r="T32" s="21">
        <v>80</v>
      </c>
      <c r="U32" s="32">
        <v>90</v>
      </c>
      <c r="V32" s="32">
        <v>85</v>
      </c>
      <c r="W32" s="32">
        <v>89</v>
      </c>
      <c r="X32" s="32">
        <v>86</v>
      </c>
      <c r="Y32" s="33">
        <v>91</v>
      </c>
      <c r="Z32" s="32">
        <v>85</v>
      </c>
      <c r="AA32" s="32">
        <v>82</v>
      </c>
      <c r="AB32" s="32">
        <v>90</v>
      </c>
      <c r="AC32" s="32">
        <v>93</v>
      </c>
      <c r="AD32" s="32">
        <v>95</v>
      </c>
      <c r="AE32" s="32">
        <v>90</v>
      </c>
      <c r="AF32" s="32">
        <v>84</v>
      </c>
      <c r="AG32" s="32">
        <v>84</v>
      </c>
      <c r="AH32" s="32">
        <v>82</v>
      </c>
      <c r="AI32" s="32">
        <v>85</v>
      </c>
      <c r="AJ32" s="32">
        <v>87</v>
      </c>
      <c r="AK32" s="34">
        <f t="shared" si="5"/>
        <v>87</v>
      </c>
      <c r="AL32" s="34">
        <f t="shared" si="2"/>
        <v>82.7</v>
      </c>
      <c r="AM32" s="34">
        <f t="shared" si="2"/>
        <v>87</v>
      </c>
      <c r="AN32" s="34">
        <f t="shared" si="2"/>
        <v>85.125</v>
      </c>
      <c r="AO32" s="34">
        <f t="shared" si="2"/>
        <v>86.5</v>
      </c>
      <c r="AP32" s="34">
        <f t="shared" si="2"/>
        <v>82.75</v>
      </c>
      <c r="AQ32" s="34">
        <f t="shared" si="6"/>
        <v>81.25</v>
      </c>
      <c r="AR32" s="34">
        <f t="shared" si="6"/>
        <v>84.8</v>
      </c>
      <c r="AS32" s="34">
        <f t="shared" si="6"/>
        <v>88.4</v>
      </c>
      <c r="AT32" s="34">
        <f t="shared" si="6"/>
        <v>88.1</v>
      </c>
      <c r="AU32" s="34">
        <f t="shared" si="6"/>
        <v>85.25</v>
      </c>
      <c r="AV32" s="34">
        <f t="shared" si="6"/>
        <v>82.75</v>
      </c>
      <c r="AW32" s="34">
        <f t="shared" si="6"/>
        <v>80.75</v>
      </c>
      <c r="AX32" s="34">
        <f t="shared" si="6"/>
        <v>82.041666666666657</v>
      </c>
      <c r="AY32" s="34">
        <f t="shared" si="6"/>
        <v>84.833333333333343</v>
      </c>
      <c r="AZ32" s="34">
        <f t="shared" si="6"/>
        <v>83.5</v>
      </c>
      <c r="BA32" s="35">
        <v>88.625</v>
      </c>
      <c r="BB32" s="36">
        <f t="shared" si="3"/>
        <v>1441.375</v>
      </c>
      <c r="BC32" s="37">
        <f t="shared" si="4"/>
        <v>84.786764705882348</v>
      </c>
      <c r="BD32" s="36">
        <f t="shared" si="1"/>
        <v>5</v>
      </c>
    </row>
    <row r="33" spans="1:56" x14ac:dyDescent="0.25">
      <c r="A33" s="29">
        <v>28</v>
      </c>
      <c r="B33" s="30" t="s">
        <v>108</v>
      </c>
      <c r="C33" s="31" t="s">
        <v>109</v>
      </c>
      <c r="D33" s="29" t="s">
        <v>110</v>
      </c>
      <c r="E33" s="21">
        <v>79.400000000000006</v>
      </c>
      <c r="F33" s="21">
        <v>79.599999999999994</v>
      </c>
      <c r="G33" s="21">
        <v>81.2</v>
      </c>
      <c r="H33" s="21">
        <v>82.25</v>
      </c>
      <c r="I33" s="21">
        <v>80</v>
      </c>
      <c r="J33" s="21">
        <v>83.5</v>
      </c>
      <c r="K33" s="21">
        <v>79.25</v>
      </c>
      <c r="L33" s="21">
        <v>80</v>
      </c>
      <c r="M33" s="21">
        <v>79.599999999999994</v>
      </c>
      <c r="N33" s="21">
        <v>79.8</v>
      </c>
      <c r="O33" s="21">
        <v>77</v>
      </c>
      <c r="P33" s="21">
        <v>74.5</v>
      </c>
      <c r="Q33" s="21">
        <v>75.5</v>
      </c>
      <c r="R33" s="21">
        <v>80.666666666666671</v>
      </c>
      <c r="S33" s="21">
        <v>80.333333333333329</v>
      </c>
      <c r="T33" s="21">
        <v>79</v>
      </c>
      <c r="U33" s="32">
        <v>88</v>
      </c>
      <c r="V33" s="32">
        <v>86</v>
      </c>
      <c r="W33" s="32">
        <v>85</v>
      </c>
      <c r="X33" s="32">
        <v>84</v>
      </c>
      <c r="Y33" s="33">
        <v>87</v>
      </c>
      <c r="Z33" s="32">
        <v>85</v>
      </c>
      <c r="AA33" s="32">
        <v>80</v>
      </c>
      <c r="AB33" s="32">
        <v>84</v>
      </c>
      <c r="AC33" s="32">
        <v>90</v>
      </c>
      <c r="AD33" s="32">
        <v>84</v>
      </c>
      <c r="AE33" s="32">
        <v>86</v>
      </c>
      <c r="AF33" s="32">
        <v>86</v>
      </c>
      <c r="AG33" s="32">
        <v>80</v>
      </c>
      <c r="AH33" s="32">
        <v>80</v>
      </c>
      <c r="AI33" s="32">
        <v>84</v>
      </c>
      <c r="AJ33" s="32">
        <v>85</v>
      </c>
      <c r="AK33" s="34">
        <f t="shared" si="5"/>
        <v>83.7</v>
      </c>
      <c r="AL33" s="34">
        <f t="shared" si="2"/>
        <v>82.8</v>
      </c>
      <c r="AM33" s="34">
        <f t="shared" si="2"/>
        <v>83.1</v>
      </c>
      <c r="AN33" s="34">
        <f t="shared" si="2"/>
        <v>83.125</v>
      </c>
      <c r="AO33" s="34">
        <f t="shared" si="2"/>
        <v>83.5</v>
      </c>
      <c r="AP33" s="34">
        <f t="shared" si="2"/>
        <v>84.25</v>
      </c>
      <c r="AQ33" s="34">
        <f t="shared" si="6"/>
        <v>79.625</v>
      </c>
      <c r="AR33" s="34">
        <f t="shared" si="6"/>
        <v>82</v>
      </c>
      <c r="AS33" s="34">
        <f t="shared" si="6"/>
        <v>84.8</v>
      </c>
      <c r="AT33" s="34">
        <f t="shared" si="6"/>
        <v>81.900000000000006</v>
      </c>
      <c r="AU33" s="34">
        <f t="shared" si="6"/>
        <v>81.5</v>
      </c>
      <c r="AV33" s="34">
        <f t="shared" si="6"/>
        <v>80.25</v>
      </c>
      <c r="AW33" s="34">
        <f t="shared" si="6"/>
        <v>77.75</v>
      </c>
      <c r="AX33" s="34">
        <f t="shared" si="6"/>
        <v>80.333333333333343</v>
      </c>
      <c r="AY33" s="34">
        <f t="shared" si="6"/>
        <v>82.166666666666657</v>
      </c>
      <c r="AZ33" s="34">
        <f t="shared" si="6"/>
        <v>82</v>
      </c>
      <c r="BA33" s="35">
        <v>83.75</v>
      </c>
      <c r="BB33" s="36">
        <f t="shared" si="3"/>
        <v>1396.55</v>
      </c>
      <c r="BC33" s="37">
        <f t="shared" si="4"/>
        <v>82.149999999999991</v>
      </c>
      <c r="BD33" s="36">
        <f t="shared" si="1"/>
        <v>19</v>
      </c>
    </row>
    <row r="34" spans="1:56" x14ac:dyDescent="0.25">
      <c r="A34" s="29">
        <v>29</v>
      </c>
      <c r="B34" s="30" t="s">
        <v>111</v>
      </c>
      <c r="C34" s="31" t="s">
        <v>112</v>
      </c>
      <c r="D34" s="29" t="s">
        <v>113</v>
      </c>
      <c r="E34" s="21">
        <v>81.8</v>
      </c>
      <c r="F34" s="21">
        <v>79.400000000000006</v>
      </c>
      <c r="G34" s="21">
        <v>81.599999999999994</v>
      </c>
      <c r="H34" s="21">
        <v>78</v>
      </c>
      <c r="I34" s="21">
        <v>80</v>
      </c>
      <c r="J34" s="21">
        <v>83</v>
      </c>
      <c r="K34" s="21">
        <v>79.5</v>
      </c>
      <c r="L34" s="21">
        <v>80.599999999999994</v>
      </c>
      <c r="M34" s="21">
        <v>80.400000000000006</v>
      </c>
      <c r="N34" s="21">
        <v>80.400000000000006</v>
      </c>
      <c r="O34" s="21">
        <v>77.5</v>
      </c>
      <c r="P34" s="21">
        <v>78.5</v>
      </c>
      <c r="Q34" s="21">
        <v>76</v>
      </c>
      <c r="R34" s="21">
        <v>80.916666666666671</v>
      </c>
      <c r="S34" s="21">
        <v>82</v>
      </c>
      <c r="T34" s="21">
        <v>80</v>
      </c>
      <c r="U34" s="32">
        <v>90</v>
      </c>
      <c r="V34" s="32">
        <v>85</v>
      </c>
      <c r="W34" s="32">
        <v>84</v>
      </c>
      <c r="X34" s="32">
        <v>85</v>
      </c>
      <c r="Y34" s="33">
        <v>88</v>
      </c>
      <c r="Z34" s="32">
        <v>84</v>
      </c>
      <c r="AA34" s="32">
        <v>80</v>
      </c>
      <c r="AB34" s="32">
        <v>84</v>
      </c>
      <c r="AC34" s="32">
        <v>91</v>
      </c>
      <c r="AD34" s="32">
        <v>84</v>
      </c>
      <c r="AE34" s="32">
        <v>88</v>
      </c>
      <c r="AF34" s="32">
        <v>87</v>
      </c>
      <c r="AG34" s="32">
        <v>82</v>
      </c>
      <c r="AH34" s="32">
        <v>85</v>
      </c>
      <c r="AI34" s="32">
        <v>86</v>
      </c>
      <c r="AJ34" s="32">
        <v>85</v>
      </c>
      <c r="AK34" s="34">
        <f t="shared" si="5"/>
        <v>85.9</v>
      </c>
      <c r="AL34" s="34">
        <f t="shared" si="2"/>
        <v>82.2</v>
      </c>
      <c r="AM34" s="34">
        <f t="shared" si="2"/>
        <v>82.8</v>
      </c>
      <c r="AN34" s="34">
        <f t="shared" si="2"/>
        <v>81.5</v>
      </c>
      <c r="AO34" s="34">
        <f t="shared" si="2"/>
        <v>84</v>
      </c>
      <c r="AP34" s="34">
        <f t="shared" si="2"/>
        <v>83.5</v>
      </c>
      <c r="AQ34" s="34">
        <f t="shared" si="6"/>
        <v>79.75</v>
      </c>
      <c r="AR34" s="34">
        <f t="shared" si="6"/>
        <v>82.3</v>
      </c>
      <c r="AS34" s="34">
        <f t="shared" si="6"/>
        <v>85.7</v>
      </c>
      <c r="AT34" s="34">
        <f t="shared" si="6"/>
        <v>82.2</v>
      </c>
      <c r="AU34" s="34">
        <f t="shared" si="6"/>
        <v>82.75</v>
      </c>
      <c r="AV34" s="34">
        <f t="shared" si="6"/>
        <v>82.75</v>
      </c>
      <c r="AW34" s="34">
        <f t="shared" si="6"/>
        <v>79</v>
      </c>
      <c r="AX34" s="34">
        <f t="shared" si="6"/>
        <v>82.958333333333343</v>
      </c>
      <c r="AY34" s="34">
        <f t="shared" si="6"/>
        <v>84</v>
      </c>
      <c r="AZ34" s="34">
        <f t="shared" si="6"/>
        <v>82.5</v>
      </c>
      <c r="BA34" s="35">
        <v>93.125</v>
      </c>
      <c r="BB34" s="36">
        <f t="shared" si="3"/>
        <v>1416.9333333333334</v>
      </c>
      <c r="BC34" s="37">
        <f t="shared" si="4"/>
        <v>83.349019607843147</v>
      </c>
      <c r="BD34" s="36">
        <f t="shared" si="1"/>
        <v>12</v>
      </c>
    </row>
    <row r="35" spans="1:56" x14ac:dyDescent="0.25">
      <c r="A35" s="29">
        <v>30</v>
      </c>
      <c r="B35" s="30" t="s">
        <v>114</v>
      </c>
      <c r="C35" s="31" t="s">
        <v>115</v>
      </c>
      <c r="D35" s="29" t="s">
        <v>116</v>
      </c>
      <c r="E35" s="21">
        <v>84</v>
      </c>
      <c r="F35" s="21">
        <v>81.2</v>
      </c>
      <c r="G35" s="21">
        <v>86.4</v>
      </c>
      <c r="H35" s="21">
        <v>78.25</v>
      </c>
      <c r="I35" s="21">
        <v>83.25</v>
      </c>
      <c r="J35" s="21">
        <v>88</v>
      </c>
      <c r="K35" s="21">
        <v>81</v>
      </c>
      <c r="L35" s="21">
        <v>81.599999999999994</v>
      </c>
      <c r="M35" s="21">
        <v>83.6</v>
      </c>
      <c r="N35" s="21">
        <v>82</v>
      </c>
      <c r="O35" s="21">
        <v>80</v>
      </c>
      <c r="P35" s="21">
        <v>82.5</v>
      </c>
      <c r="Q35" s="21">
        <v>79.5</v>
      </c>
      <c r="R35" s="21">
        <v>82.25</v>
      </c>
      <c r="S35" s="21">
        <v>84.666666666666671</v>
      </c>
      <c r="T35" s="21">
        <v>82</v>
      </c>
      <c r="U35" s="32">
        <v>88</v>
      </c>
      <c r="V35" s="32">
        <v>88</v>
      </c>
      <c r="W35" s="32">
        <v>94</v>
      </c>
      <c r="X35" s="32">
        <v>94</v>
      </c>
      <c r="Y35" s="33">
        <v>91</v>
      </c>
      <c r="Z35" s="32">
        <v>86</v>
      </c>
      <c r="AA35" s="32">
        <v>86</v>
      </c>
      <c r="AB35" s="32">
        <v>90</v>
      </c>
      <c r="AC35" s="32">
        <v>95</v>
      </c>
      <c r="AD35" s="32">
        <v>94</v>
      </c>
      <c r="AE35" s="32">
        <v>92</v>
      </c>
      <c r="AF35" s="32">
        <v>88</v>
      </c>
      <c r="AG35" s="32">
        <v>98</v>
      </c>
      <c r="AH35" s="32">
        <v>90</v>
      </c>
      <c r="AI35" s="32">
        <v>88</v>
      </c>
      <c r="AJ35" s="32">
        <v>89</v>
      </c>
      <c r="AK35" s="34">
        <f t="shared" si="5"/>
        <v>86</v>
      </c>
      <c r="AL35" s="34">
        <f t="shared" si="2"/>
        <v>84.6</v>
      </c>
      <c r="AM35" s="34">
        <f t="shared" si="2"/>
        <v>90.2</v>
      </c>
      <c r="AN35" s="34">
        <f t="shared" si="2"/>
        <v>86.125</v>
      </c>
      <c r="AO35" s="34">
        <f t="shared" si="2"/>
        <v>87.125</v>
      </c>
      <c r="AP35" s="34">
        <f t="shared" si="2"/>
        <v>87</v>
      </c>
      <c r="AQ35" s="34">
        <f t="shared" si="6"/>
        <v>83.5</v>
      </c>
      <c r="AR35" s="34">
        <f t="shared" si="6"/>
        <v>85.8</v>
      </c>
      <c r="AS35" s="34">
        <f t="shared" si="6"/>
        <v>89.3</v>
      </c>
      <c r="AT35" s="34">
        <f t="shared" si="6"/>
        <v>88</v>
      </c>
      <c r="AU35" s="34">
        <f t="shared" si="6"/>
        <v>86</v>
      </c>
      <c r="AV35" s="34">
        <f t="shared" si="6"/>
        <v>85.25</v>
      </c>
      <c r="AW35" s="34">
        <f t="shared" si="6"/>
        <v>88.75</v>
      </c>
      <c r="AX35" s="34">
        <f t="shared" si="6"/>
        <v>86.125</v>
      </c>
      <c r="AY35" s="34">
        <f t="shared" si="6"/>
        <v>86.333333333333343</v>
      </c>
      <c r="AZ35" s="34">
        <f t="shared" si="6"/>
        <v>85.5</v>
      </c>
      <c r="BA35" s="35">
        <v>94.9375</v>
      </c>
      <c r="BB35" s="36">
        <f t="shared" si="3"/>
        <v>1480.5458333333331</v>
      </c>
      <c r="BC35" s="37">
        <f t="shared" si="4"/>
        <v>87.090931372549008</v>
      </c>
      <c r="BD35" s="36">
        <f t="shared" si="1"/>
        <v>1</v>
      </c>
    </row>
    <row r="36" spans="1:56" x14ac:dyDescent="0.25">
      <c r="A36" s="29">
        <v>31</v>
      </c>
      <c r="B36" s="30" t="s">
        <v>117</v>
      </c>
      <c r="C36" s="31" t="s">
        <v>118</v>
      </c>
      <c r="D36" s="29" t="s">
        <v>119</v>
      </c>
      <c r="E36" s="21">
        <v>79.400000000000006</v>
      </c>
      <c r="F36" s="21">
        <v>79.400000000000006</v>
      </c>
      <c r="G36" s="21">
        <v>80.2</v>
      </c>
      <c r="H36" s="21">
        <v>77.5</v>
      </c>
      <c r="I36" s="21">
        <v>78.75</v>
      </c>
      <c r="J36" s="21">
        <v>81</v>
      </c>
      <c r="K36" s="21">
        <v>79.25</v>
      </c>
      <c r="L36" s="21">
        <v>80</v>
      </c>
      <c r="M36" s="21">
        <v>78</v>
      </c>
      <c r="N36" s="21">
        <v>77.8</v>
      </c>
      <c r="O36" s="21">
        <v>76</v>
      </c>
      <c r="P36" s="21">
        <v>73.5</v>
      </c>
      <c r="Q36" s="21">
        <v>74.5</v>
      </c>
      <c r="R36" s="21">
        <v>79</v>
      </c>
      <c r="S36" s="21">
        <v>80.666666666666671</v>
      </c>
      <c r="T36" s="21">
        <v>80</v>
      </c>
      <c r="U36" s="32">
        <v>88</v>
      </c>
      <c r="V36" s="32">
        <v>84</v>
      </c>
      <c r="W36" s="32">
        <v>84</v>
      </c>
      <c r="X36" s="32">
        <v>84</v>
      </c>
      <c r="Y36" s="33">
        <v>85</v>
      </c>
      <c r="Z36" s="32">
        <v>83</v>
      </c>
      <c r="AA36" s="32">
        <v>80</v>
      </c>
      <c r="AB36" s="32">
        <v>82</v>
      </c>
      <c r="AC36" s="32">
        <v>90</v>
      </c>
      <c r="AD36" s="32">
        <v>82</v>
      </c>
      <c r="AE36" s="32">
        <v>88</v>
      </c>
      <c r="AF36" s="32">
        <v>86</v>
      </c>
      <c r="AG36" s="32">
        <v>84</v>
      </c>
      <c r="AH36" s="32">
        <v>83</v>
      </c>
      <c r="AI36" s="32">
        <v>86</v>
      </c>
      <c r="AJ36" s="32">
        <v>85</v>
      </c>
      <c r="AK36" s="34">
        <f t="shared" si="5"/>
        <v>83.7</v>
      </c>
      <c r="AL36" s="34">
        <f t="shared" si="2"/>
        <v>81.7</v>
      </c>
      <c r="AM36" s="34">
        <f t="shared" si="2"/>
        <v>82.1</v>
      </c>
      <c r="AN36" s="34">
        <f t="shared" si="2"/>
        <v>80.75</v>
      </c>
      <c r="AO36" s="34">
        <f t="shared" si="2"/>
        <v>81.875</v>
      </c>
      <c r="AP36" s="34">
        <f t="shared" si="2"/>
        <v>82</v>
      </c>
      <c r="AQ36" s="34">
        <f t="shared" si="6"/>
        <v>79.625</v>
      </c>
      <c r="AR36" s="34">
        <f t="shared" si="6"/>
        <v>81</v>
      </c>
      <c r="AS36" s="34">
        <f t="shared" si="6"/>
        <v>84</v>
      </c>
      <c r="AT36" s="34">
        <f t="shared" si="6"/>
        <v>79.900000000000006</v>
      </c>
      <c r="AU36" s="34">
        <f t="shared" si="6"/>
        <v>82</v>
      </c>
      <c r="AV36" s="34">
        <f t="shared" si="6"/>
        <v>79.75</v>
      </c>
      <c r="AW36" s="34">
        <f t="shared" si="6"/>
        <v>79.25</v>
      </c>
      <c r="AX36" s="34">
        <f t="shared" si="6"/>
        <v>81</v>
      </c>
      <c r="AY36" s="34">
        <f t="shared" si="6"/>
        <v>83.333333333333343</v>
      </c>
      <c r="AZ36" s="34">
        <f t="shared" si="6"/>
        <v>82.5</v>
      </c>
      <c r="BA36" s="35">
        <v>85.75</v>
      </c>
      <c r="BB36" s="36">
        <f t="shared" si="3"/>
        <v>1390.2333333333333</v>
      </c>
      <c r="BC36" s="37">
        <f t="shared" si="4"/>
        <v>81.778431372549022</v>
      </c>
      <c r="BD36" s="36">
        <f t="shared" si="1"/>
        <v>23</v>
      </c>
    </row>
    <row r="37" spans="1:56" ht="15.75" thickBot="1" x14ac:dyDescent="0.3">
      <c r="A37" s="38">
        <v>32</v>
      </c>
      <c r="B37" s="39" t="s">
        <v>120</v>
      </c>
      <c r="C37" s="40" t="s">
        <v>121</v>
      </c>
      <c r="D37" s="38" t="s">
        <v>122</v>
      </c>
      <c r="E37" s="41">
        <v>79</v>
      </c>
      <c r="F37" s="41">
        <v>79</v>
      </c>
      <c r="G37" s="41">
        <v>78.8</v>
      </c>
      <c r="H37" s="41">
        <v>78</v>
      </c>
      <c r="I37" s="41">
        <v>77.25</v>
      </c>
      <c r="J37" s="41">
        <v>74</v>
      </c>
      <c r="K37" s="41">
        <v>79</v>
      </c>
      <c r="L37" s="41">
        <v>78.8</v>
      </c>
      <c r="M37" s="41">
        <v>76.8</v>
      </c>
      <c r="N37" s="41">
        <v>77.8</v>
      </c>
      <c r="O37" s="41">
        <v>75.5</v>
      </c>
      <c r="P37" s="41">
        <v>71</v>
      </c>
      <c r="Q37" s="41">
        <v>75</v>
      </c>
      <c r="R37" s="41">
        <v>77.666666666666671</v>
      </c>
      <c r="S37" s="41">
        <v>78.333333333333329</v>
      </c>
      <c r="T37" s="41">
        <v>78.333333333333329</v>
      </c>
      <c r="U37" s="42">
        <v>88</v>
      </c>
      <c r="V37" s="42">
        <v>83</v>
      </c>
      <c r="W37" s="42">
        <v>81</v>
      </c>
      <c r="X37" s="42">
        <v>84</v>
      </c>
      <c r="Y37" s="43">
        <v>82</v>
      </c>
      <c r="Z37" s="42">
        <v>82</v>
      </c>
      <c r="AA37" s="42">
        <v>80</v>
      </c>
      <c r="AB37" s="42">
        <v>81</v>
      </c>
      <c r="AC37" s="42">
        <v>89</v>
      </c>
      <c r="AD37" s="42">
        <v>81</v>
      </c>
      <c r="AE37" s="42">
        <v>86</v>
      </c>
      <c r="AF37" s="42">
        <v>84</v>
      </c>
      <c r="AG37" s="42">
        <v>80</v>
      </c>
      <c r="AH37" s="42">
        <v>81</v>
      </c>
      <c r="AI37" s="42">
        <v>83</v>
      </c>
      <c r="AJ37" s="42">
        <v>83</v>
      </c>
      <c r="AK37" s="44">
        <f t="shared" si="5"/>
        <v>83.5</v>
      </c>
      <c r="AL37" s="44">
        <f t="shared" si="2"/>
        <v>81</v>
      </c>
      <c r="AM37" s="44">
        <f t="shared" si="2"/>
        <v>79.900000000000006</v>
      </c>
      <c r="AN37" s="44">
        <f t="shared" si="2"/>
        <v>81</v>
      </c>
      <c r="AO37" s="44">
        <f t="shared" si="2"/>
        <v>79.625</v>
      </c>
      <c r="AP37" s="44">
        <f t="shared" si="2"/>
        <v>78</v>
      </c>
      <c r="AQ37" s="44">
        <f t="shared" si="6"/>
        <v>79.5</v>
      </c>
      <c r="AR37" s="44">
        <f t="shared" si="6"/>
        <v>79.900000000000006</v>
      </c>
      <c r="AS37" s="44">
        <f t="shared" si="6"/>
        <v>82.9</v>
      </c>
      <c r="AT37" s="44">
        <f t="shared" si="6"/>
        <v>79.400000000000006</v>
      </c>
      <c r="AU37" s="44">
        <f t="shared" si="6"/>
        <v>80.75</v>
      </c>
      <c r="AV37" s="44">
        <f t="shared" si="6"/>
        <v>77.5</v>
      </c>
      <c r="AW37" s="44">
        <f t="shared" si="6"/>
        <v>77.5</v>
      </c>
      <c r="AX37" s="44">
        <f t="shared" si="6"/>
        <v>79.333333333333343</v>
      </c>
      <c r="AY37" s="44">
        <f t="shared" si="6"/>
        <v>80.666666666666657</v>
      </c>
      <c r="AZ37" s="44">
        <f t="shared" si="6"/>
        <v>80.666666666666657</v>
      </c>
      <c r="BA37" s="45">
        <v>70</v>
      </c>
      <c r="BB37" s="46">
        <f t="shared" si="3"/>
        <v>1351.1416666666667</v>
      </c>
      <c r="BC37" s="47">
        <f t="shared" si="4"/>
        <v>79.478921568627456</v>
      </c>
      <c r="BD37" s="46">
        <f t="shared" si="1"/>
        <v>32</v>
      </c>
    </row>
    <row r="38" spans="1:56" ht="15.75" thickTop="1" x14ac:dyDescent="0.25"/>
  </sheetData>
  <mergeCells count="8">
    <mergeCell ref="AK4:BA4"/>
    <mergeCell ref="BB4:BD4"/>
    <mergeCell ref="A4:A5"/>
    <mergeCell ref="B4:B5"/>
    <mergeCell ref="C4:C5"/>
    <mergeCell ref="D4:D5"/>
    <mergeCell ref="E4:T4"/>
    <mergeCell ref="U4:A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TKJ1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</dc:creator>
  <cp:lastModifiedBy>wahyu</cp:lastModifiedBy>
  <dcterms:created xsi:type="dcterms:W3CDTF">2026-07-06T06:48:11Z</dcterms:created>
  <dcterms:modified xsi:type="dcterms:W3CDTF">2026-07-06T06:48:38Z</dcterms:modified>
</cp:coreProperties>
</file>